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xport-Zusammenfassung" sheetId="1" r:id="rId5"/>
    <sheet name="Übersicht" sheetId="2" r:id="rId6"/>
    <sheet name="1_WENN" sheetId="3" r:id="rId7"/>
    <sheet name="2_Verschachtelte_WENN" sheetId="4" r:id="rId8"/>
    <sheet name="3_WENNS" sheetId="5" r:id="rId9"/>
    <sheet name="4_UND_ODER_NICHT" sheetId="6" r:id="rId10"/>
    <sheet name="5_WENNFEHLER_WENNNV" sheetId="7" r:id="rId11"/>
    <sheet name="Lösungen" sheetId="8" r:id="rId12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<sst xmlns="http://schemas.openxmlformats.org/spreadsheetml/2006/main" uniqueCount="199">
  <si>
    <t>Dieses Dokument wurde aus Numbers exportiert und jede Tabelle in ein Excel-Arbeitsblatt umgewandelt. Alle anderen Objekte der einzelnen Numbers-Blätter wurden auf eigene Arbeitsblätter übertragen. Beachte, dass die Formelberechnungen in Excel möglicherweise anders sind.</t>
  </si>
  <si>
    <t>Name des Numbers-Blatts</t>
  </si>
  <si>
    <t>Numbers-Tabellenname</t>
  </si>
  <si>
    <t>Name des Excel-Arbeitsblatts</t>
  </si>
  <si>
    <t>Übersicht</t>
  </si>
  <si>
    <t>Tabelle 1</t>
  </si>
  <si>
    <t>Übungsdatei – Stufe 3</t>
  </si>
  <si>
    <t>Logik und Fehlerbehandlung</t>
  </si>
  <si>
    <t>Diese Datei enthält fünf Übungsblätter zu WENN, verschachtelter WENN, WENNS, UND/ODER/NICHT sowie WENNFEHLER/WENNNV. Jedes Blatt enthält vorausgefüllte Prozessdaten und eine Aufgabenstellung (gelb hinterlegt). Trage deine Formeln in die hellblau markierten Spalten ein. Die Lösungen findest du im letzten Blatt – schau dort bitte erst nach, wenn du es selbst versucht hast.</t>
  </si>
  <si>
    <t>Inhaltsverzeichnis</t>
  </si>
  <si>
    <t>Nr.</t>
  </si>
  <si>
    <t>Blatt</t>
  </si>
  <si>
    <t>Thema</t>
  </si>
  <si>
    <t>Aufgabe</t>
  </si>
  <si>
    <t>1</t>
  </si>
  <si>
    <t>1_WENN</t>
  </si>
  <si>
    <t>WENN</t>
  </si>
  <si>
    <t>SLA-Status aus der Bearbeitungsdauer klassifizieren</t>
  </si>
  <si>
    <t>2</t>
  </si>
  <si>
    <t>2_Verschachtelte_WENN</t>
  </si>
  <si>
    <t>Verschachtelte WENN</t>
  </si>
  <si>
    <t>Priorität in drei Stufen klassifizieren</t>
  </si>
  <si>
    <t>3</t>
  </si>
  <si>
    <t>3_WENNS</t>
  </si>
  <si>
    <t>WENNS</t>
  </si>
  <si>
    <t>Gleiche Aufgabe wie Blatt 2, aber mit WENNS</t>
  </si>
  <si>
    <t>4</t>
  </si>
  <si>
    <t>4_UND_ODER_NICHT</t>
  </si>
  <si>
    <t>UND / ODER / NICHT</t>
  </si>
  <si>
    <t>Kombinierte Bedingungen für Eskalation und Bemerkungen</t>
  </si>
  <si>
    <t>5</t>
  </si>
  <si>
    <t>5_WENNFEHLER_WENNNV</t>
  </si>
  <si>
    <t>WENNFEHLER / WENNNV</t>
  </si>
  <si>
    <t>SVERWEIS- und Divisionsfehler absichern</t>
  </si>
  <si>
    <t>6</t>
  </si>
  <si>
    <t>Lösungen</t>
  </si>
  <si>
    <t>—</t>
  </si>
  <si>
    <t>Lösungsformeln zum Nachschlagen</t>
  </si>
  <si>
    <t>Blatt 1: WENN</t>
  </si>
  <si>
    <t>Aufgabe: Schreibe in Spalte D eine WENN-Formel. Wenn die Bearbeitungsdauer mehr als 180 Minuten beträgt, soll 'SLA verletzt' erscheinen, sonst 'SLA eingehalten'.</t>
  </si>
  <si>
    <t>Vorgangsnummer</t>
  </si>
  <si>
    <t>Bearbeitungsdauer (Min)</t>
  </si>
  <si>
    <t>Status (SLA)</t>
  </si>
  <si>
    <t>V001</t>
  </si>
  <si>
    <t>SLA eingehalten</t>
  </si>
  <si>
    <t>V002</t>
  </si>
  <si>
    <t>SLA verletzt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</si>
  <si>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</si>
  <si>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</si>
  <si>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</si>
  <si>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</si>
  <si>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</si>
  <si>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</si>
  <si>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</si>
  <si>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</si>
  <si>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</si>
  <si>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</si>
  <si>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</si>
  <si>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Blatt 2: Verschachtelte WENN</t>
  </si>
  <si>
    <t>Aufgabe: Klassifiziere die Priorität in Spalte D mit einer verschachtelten WENN-Formel: &gt; 480 Min = 'Hoch', &gt; 240 Min = 'Mittel', sonst 'Niedrig'.</t>
  </si>
  <si>
    <t>Priorität</t>
  </si>
  <si>
    <t>Hoch</t>
  </si>
  <si>
    <t>Mittel</t>
  </si>
  <si>
    <t>Niedrig</t>
  </si>
  <si>
    <t>Blatt 3: WENNS</t>
  </si>
  <si>
    <t>Aufgabe: Löse dieselbe Klassifizierung wie in Blatt 2 (Hoch / Mittel / Niedrig), aber dieses Mal mit der WENNS-Funktion statt einer verschachtelten WENN.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</si>
  <si>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</si>
  <si>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</si>
  <si>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</si>
  <si>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</si>
  <si>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</si>
  <si>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</si>
  <si>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</si>
  <si>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</si>
  <si>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</si>
  <si>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</si>
  <si>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Blatt 4: UND / ODER / NICHT</t>
  </si>
  <si>
    <t>Aufgabe 1 (Spalte F, UND): 'Kritisch', wenn Bearbeitungsdauer &gt; 240 UND Abteilung = 'Reklamation', sonst 'Normal'.  Aufgabe 2 (Spalte G, ODER): 'Sonderfall', wenn Abteilung = 'Reklamation' ODER 'Eskalation', sonst 'Standardfall'.  Aufgabe 3 (Spalte H, NICHT): 'Erfasst', wenn die Bemerkung NICHT leer ist, sonst 'Fehlt'.</t>
  </si>
  <si>
    <t>Abteilung</t>
  </si>
  <si>
    <t>Bemerkung</t>
  </si>
  <si>
    <t>Kritisch? (UND)</t>
  </si>
  <si>
    <t>Sonderfall? (ODER)</t>
  </si>
  <si>
    <t>Bemerkung erfasst? (NICHT)</t>
  </si>
  <si>
    <t>V201</t>
  </si>
  <si>
    <t>Reklamation</t>
  </si>
  <si>
    <t>Kunde wartet auf Rückruf</t>
  </si>
  <si>
    <t>KRITISCH</t>
  </si>
  <si>
    <t>Sonderfall</t>
  </si>
  <si>
    <t>Erfasst</t>
  </si>
  <si>
    <t>V202</t>
  </si>
  <si>
    <t>Standard</t>
  </si>
  <si>
    <t>NORMAL</t>
  </si>
  <si>
    <t>Standardfall</t>
  </si>
  <si>
    <t>Fehlt</t>
  </si>
  <si>
    <t>V203</t>
  </si>
  <si>
    <t>Eskalation</t>
  </si>
  <si>
    <t>Eskalation an Teamleiter gemeldet</t>
  </si>
  <si>
    <t>V204</t>
  </si>
  <si>
    <t>V205</t>
  </si>
  <si>
    <t>V206</t>
  </si>
  <si>
    <t>Versand</t>
  </si>
  <si>
    <t>Paket beschädigt</t>
  </si>
  <si>
    <t>V207</t>
  </si>
  <si>
    <t>V208</t>
  </si>
  <si>
    <t>Erledigt ohne Probleme</t>
  </si>
  <si>
    <t>V209</t>
  </si>
  <si>
    <t>Rückerstattung veranlasst</t>
  </si>
  <si>
    <t>V210</t>
  </si>
  <si>
    <t>Blatt 5: WENNFEHLER / WENNNV</t>
  </si>
  <si>
    <t>Kostenstellen-Tabelle (Nachschlagewerk für SVERWEIS)</t>
  </si>
  <si>
    <t>Kostenstellen-ID</t>
  </si>
  <si>
    <t>Kostenstellenname</t>
  </si>
  <si>
    <t>K001</t>
  </si>
  <si>
    <t>Einkauf</t>
  </si>
  <si>
    <t>K002</t>
  </si>
  <si>
    <t>Vertrieb</t>
  </si>
  <si>
    <t>K003</t>
  </si>
  <si>
    <t>Logistik</t>
  </si>
  <si>
    <t>K004</t>
  </si>
  <si>
    <t>IT</t>
  </si>
  <si>
    <t>K005</t>
  </si>
  <si>
    <t>Finanzen</t>
  </si>
  <si>
    <t>Aufgabe A: Schreibe in Spalte D einen einfachen SVERWEIS auf die Kostenstellen-Tabelle oben. Du wirst bei zwei Vorgängen #NV sehen, weil die Kostenstellen-ID dort nicht existiert. Sichere denselben SVERWEIS in Spalte E mit WENNFEHLER ab (Text: 'Kostenstelle unbekannt') und in Spalte F mit WENNNV ab (Text: 'Nicht zugeordnet').</t>
  </si>
  <si>
    <t>SVERWEIS (ungesichert)</t>
  </si>
  <si>
    <t>Mit WENNFEHLER</t>
  </si>
  <si>
    <t>Mit WENNNV</t>
  </si>
  <si>
    <t>V301</t>
  </si>
  <si>
    <r>
      <rPr>
        <sz val="15"/>
        <color indexed="8"/>
        <rFont val="Arial"/>
      </rPr>
      <t>K002</t>
    </r>
  </si>
  <si>
    <t>V302</t>
  </si>
  <si>
    <r>
      <rPr>
        <sz val="15"/>
        <color indexed="8"/>
        <rFont val="Arial"/>
      </rPr>
      <t>K005</t>
    </r>
  </si>
  <si>
    <t>V303</t>
  </si>
  <si>
    <t>K099</t>
  </si>
  <si>
    <r>
      <rPr>
        <sz val="15"/>
        <color indexed="8"/>
        <rFont val="Arial"/>
      </rPr>
      <t>K099</t>
    </r>
  </si>
  <si>
    <t>V304</t>
  </si>
  <si>
    <r>
      <rPr>
        <sz val="15"/>
        <color indexed="8"/>
        <rFont val="Arial"/>
      </rPr>
      <t>K001</t>
    </r>
  </si>
  <si>
    <t>V305</t>
  </si>
  <si>
    <t>K100</t>
  </si>
  <si>
    <r>
      <rPr>
        <sz val="15"/>
        <color indexed="8"/>
        <rFont val="Arial"/>
      </rPr>
      <t>K100</t>
    </r>
  </si>
  <si>
    <t>V306</t>
  </si>
  <si>
    <r>
      <rPr>
        <sz val="15"/>
        <color indexed="8"/>
        <rFont val="Arial"/>
      </rPr>
      <t>K003</t>
    </r>
  </si>
  <si>
    <t>V307</t>
  </si>
  <si>
    <r>
      <rPr>
        <sz val="15"/>
        <color indexed="8"/>
        <rFont val="Arial"/>
      </rPr>
      <t>K004</t>
    </r>
  </si>
  <si>
    <t>V308</t>
  </si>
  <si>
    <t>K200</t>
  </si>
  <si>
    <r>
      <rPr>
        <sz val="15"/>
        <color indexed="8"/>
        <rFont val="Arial"/>
      </rPr>
      <t>K200</t>
    </r>
  </si>
  <si>
    <t>V309</t>
  </si>
  <si>
    <t>Nicht gefunden</t>
  </si>
  <si>
    <t>V310</t>
  </si>
  <si>
    <t>K125</t>
  </si>
  <si>
    <r>
      <rPr>
        <sz val="15"/>
        <color indexed="8"/>
        <rFont val="Arial"/>
      </rPr>
      <t>K125</t>
    </r>
  </si>
  <si>
    <t>B14 suche nach der Vorgangsnummer aus B14</t>
  </si>
  <si>
    <t>B14 C20 suche in diesem Bereich</t>
  </si>
  <si>
    <t>2 gib den Wert aus der 2.Spalte zurück, also aus C</t>
  </si>
  <si>
    <t>Falsch nur eine exakte Übereinstimmung</t>
  </si>
  <si>
    <t>Aufgabe B: Sichere in Spalte E die Division (Gesamtkosten / Anzahl Vorgänge) mit WENNFEHLER ab, sodass statt #DIV/0! der Text 'Nicht berechenbar' erscheint. Teste danach in Spalte F dieselbe Division mit WENNNV — was passiert bei der Division durch 0, und warum?</t>
  </si>
  <si>
    <t>Gesamtkosten (€)</t>
  </si>
  <si>
    <t>Anzahl Vorgänge</t>
  </si>
  <si>
    <t>Kosten/Vorgang mit WENNFEHLER</t>
  </si>
  <si>
    <t>Kosten/Vorgang mit WENNNV</t>
  </si>
  <si>
    <t>V401</t>
  </si>
  <si>
    <t>V402</t>
  </si>
  <si>
    <t>Nicht berechenbar</t>
  </si>
  <si>
    <t>V403</t>
  </si>
  <si>
    <t>Erst nachschauen, wenn du es selbst versucht hast!</t>
  </si>
  <si>
    <t>Formel (bezogen auf Zeile 6 bzw. erste Datenzeile)</t>
  </si>
  <si>
    <t>Kurzerklärung</t>
  </si>
  <si>
    <t>1_WENN — D6</t>
  </si>
  <si>
    <t>Formel: =WENN(C6&gt;180;"SLA verletzt";"SLA eingehalten")</t>
  </si>
  <si>
    <t>Eine Bedingung, zwei mögliche Ergebnisse.</t>
  </si>
  <si>
    <t>2_Verschachtelte_WENN — D6</t>
  </si>
  <si>
    <t>Formel: =WENN(C6&gt;480;"Hoch";WENN(C6&gt;240;"Mittel";"Niedrig"))</t>
  </si>
  <si>
    <t>Strengste Bedingung zuerst prüfen, sonst wird sie nie erreicht.</t>
  </si>
  <si>
    <t>3_WENNS — D6</t>
  </si>
  <si>
    <t>Formel: =WENNS(C6&gt;480;"Hoch";C6&gt;240;"Mittel";C6&gt;0;"Niedrig")</t>
  </si>
  <si>
    <t>Gleiche Logik wie Blatt 2, ohne Verschachtelung.</t>
  </si>
  <si>
    <t>4_UND_ODER_NICHT — F6 (UND)</t>
  </si>
  <si>
    <t>Formel: =WENN(UND(C6&gt;240;D6="Reklamation");"Kritisch";"Normal")</t>
  </si>
  <si>
    <t>Beide Bedingungen müssen wahr sein.</t>
  </si>
  <si>
    <t>4_UND_ODER_NICHT — G6 (ODER)</t>
  </si>
  <si>
    <t>Formel: =WENN(ODER(D6="Reklamation";D6="Eskalation");"Sonderfall";"Standardfall")</t>
  </si>
  <si>
    <t>Eine der beiden Bedingungen reicht.</t>
  </si>
  <si>
    <t>4_UND_ODER_NICHT — H6 (NICHT)</t>
  </si>
  <si>
    <t>Formel: =WENN(NICHT(ISTLEER(E6));"Erfasst";"Fehlt")</t>
  </si>
  <si>
    <t>NICHT kehrt eine Bedingung um, hier zur Leerfeld-Prüfung.</t>
  </si>
  <si>
    <t>5_WENNFEHLER_WENNNV — D14 (ungesichert)</t>
  </si>
  <si>
    <t>Formel: =SVERWEIS(C14;B6:C10;2;FALSCH)</t>
  </si>
  <si>
    <t>Liefert #NV, wenn die Kostenstellen-ID nicht in der Tabelle steht.</t>
  </si>
  <si>
    <t>5_WENNFEHLER_WENNNV — E14 (WENNFEHLER)</t>
  </si>
  <si>
    <t>Formel: =WENNFEHLER(SVERWEIS(C14;B6:C10;2;FALSCH);"Kostenstelle unbekannt")</t>
  </si>
  <si>
    <t>Fängt JEDEN Fehlertyp ab, nicht nur #NV.</t>
  </si>
  <si>
    <t>5_WENNFEHLER_WENNNV — F14 (WENNNV)</t>
  </si>
  <si>
    <t>Formel: =WENNNV(SVERWEIS(C14;B6:C10;2;FALSCH);"Nicht zugeordnet")</t>
  </si>
  <si>
    <t>Fängt ausschließlich #NV ab.</t>
  </si>
  <si>
    <t>5_WENNFEHLER_WENNNV — Division mit WENNFEHLER</t>
  </si>
  <si>
    <t>Formel: =WENNFEHLER(C/D;"Nicht berechenbar")</t>
  </si>
  <si>
    <t>Fängt auch #DIV/0! ab, weil WENNFEHLER für alle Fehlertypen gilt.</t>
  </si>
  <si>
    <t>5_WENNFEHLER_WENNNV — Division mit WENNNV</t>
  </si>
  <si>
    <t>Formel: =WENNNV(C/D;"Nicht berechenbar")</t>
  </si>
  <si>
    <t>Fängt #DIV/0! NICHT ab — die Formel zeigt weiterhin #DIV/0!, da WENNNV nur auf #NV reagiert.</t>
  </si>
</sst>
</file>

<file path=xl/styles.xml><?xml version="1.0" encoding="utf-8"?>
<styleSheet xmlns="http://schemas.openxmlformats.org/spreadsheetml/2006/main">
  <numFmts count="1">
    <numFmt numFmtId="0" formatCode="General"/>
  </numFmts>
  <fonts count="29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  <font>
      <sz val="16"/>
      <color indexed="14"/>
      <name val="Calibri"/>
    </font>
    <font>
      <sz val="12"/>
      <color indexed="14"/>
      <name val="Calibri"/>
    </font>
    <font>
      <sz val="10"/>
      <color indexed="15"/>
      <name val="Calibri"/>
    </font>
    <font>
      <sz val="11"/>
      <color indexed="12"/>
      <name val="Calibri"/>
    </font>
    <font>
      <sz val="10"/>
      <color indexed="8"/>
      <name val="Calibri"/>
    </font>
    <font>
      <sz val="14"/>
      <color indexed="14"/>
      <name val="Calibri"/>
    </font>
    <font>
      <sz val="14"/>
      <color indexed="17"/>
      <name val="Calibri"/>
    </font>
    <font>
      <sz val="10"/>
      <color indexed="17"/>
      <name val="Calibri"/>
    </font>
    <font>
      <sz val="14"/>
      <color indexed="12"/>
      <name val="Calibri"/>
    </font>
    <font>
      <sz val="15"/>
      <color indexed="8"/>
      <name val="Calibri"/>
    </font>
    <font>
      <sz val="15"/>
      <color indexed="14"/>
      <name val="Calibri"/>
    </font>
    <font>
      <sz val="15"/>
      <color indexed="17"/>
      <name val="Calibri"/>
    </font>
    <font>
      <sz val="15"/>
      <color indexed="12"/>
      <name val="Calibri"/>
    </font>
    <font>
      <sz val="15"/>
      <color indexed="8"/>
      <name val="Arial"/>
    </font>
    <font>
      <sz val="15"/>
      <color indexed="14"/>
      <name val="Arial"/>
    </font>
    <font>
      <sz val="15"/>
      <color indexed="17"/>
      <name val="Arial"/>
    </font>
    <font>
      <sz val="15"/>
      <color indexed="12"/>
      <name val="Arial"/>
    </font>
    <font>
      <sz val="16"/>
      <color indexed="14"/>
      <name val="Arial"/>
    </font>
    <font>
      <sz val="16"/>
      <color indexed="8"/>
      <name val="Arial"/>
    </font>
    <font>
      <sz val="16"/>
      <color indexed="17"/>
      <name val="Arial"/>
    </font>
    <font>
      <sz val="16"/>
      <color indexed="12"/>
      <name val="Arial"/>
    </font>
    <font>
      <sz val="11"/>
      <color indexed="17"/>
      <name val="Calibri"/>
    </font>
    <font>
      <sz val="10"/>
      <color indexed="8"/>
      <name val="Consolas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26">
    <border>
      <left/>
      <right/>
      <top/>
      <bottom/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/>
      <right/>
      <top/>
      <bottom style="thin">
        <color indexed="16"/>
      </bottom>
      <diagonal/>
    </border>
    <border>
      <left/>
      <right style="thin">
        <color indexed="13"/>
      </right>
      <top/>
      <bottom style="thin">
        <color indexed="16"/>
      </bottom>
      <diagonal/>
    </border>
    <border>
      <left style="thin">
        <color indexed="13"/>
      </left>
      <right style="thin">
        <color indexed="16"/>
      </right>
      <top/>
      <bottom/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3"/>
      </left>
      <right style="thin">
        <color indexed="16"/>
      </right>
      <top/>
      <bottom style="thin">
        <color indexed="13"/>
      </bottom>
      <diagonal/>
    </border>
    <border>
      <left style="thin">
        <color indexed="16"/>
      </left>
      <right/>
      <top/>
      <bottom/>
      <diagonal/>
    </border>
    <border>
      <left style="thin">
        <color indexed="16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6"/>
      </left>
      <right style="thin">
        <color indexed="13"/>
      </right>
      <top/>
      <bottom/>
      <diagonal/>
    </border>
    <border>
      <left style="thin">
        <color indexed="16"/>
      </left>
      <right style="thin">
        <color indexed="13"/>
      </right>
      <top/>
      <bottom style="thin">
        <color indexed="13"/>
      </bottom>
      <diagonal/>
    </border>
    <border>
      <left/>
      <right/>
      <top style="thin">
        <color indexed="16"/>
      </top>
      <bottom/>
      <diagonal/>
    </border>
    <border>
      <left/>
      <right style="thin">
        <color indexed="16"/>
      </right>
      <top/>
      <bottom style="thin">
        <color indexed="16"/>
      </bottom>
      <diagonal/>
    </border>
    <border>
      <left style="thin">
        <color indexed="16"/>
      </left>
      <right style="thin">
        <color indexed="16"/>
      </right>
      <top/>
      <bottom style="thin">
        <color indexed="16"/>
      </bottom>
      <diagonal/>
    </border>
    <border>
      <left style="thin">
        <color indexed="16"/>
      </left>
      <right/>
      <top/>
      <bottom style="thin">
        <color indexed="16"/>
      </bottom>
      <diagonal/>
    </border>
    <border>
      <left/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/>
      <top style="thin">
        <color indexed="16"/>
      </top>
      <bottom style="thin">
        <color indexed="16"/>
      </bottom>
      <diagonal/>
    </border>
    <border>
      <left style="thin">
        <color indexed="16"/>
      </left>
      <right/>
      <top style="thin">
        <color indexed="16"/>
      </top>
      <bottom/>
      <diagonal/>
    </border>
    <border>
      <left/>
      <right style="thin">
        <color indexed="16"/>
      </right>
      <top style="thin">
        <color indexed="16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7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0" fontId="0" fillId="4" borderId="2" applyNumberFormat="0" applyFont="1" applyFill="1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fillId="4" borderId="4" applyNumberFormat="0" applyFont="1" applyFill="1" applyBorder="1" applyAlignment="1" applyProtection="0">
      <alignment vertical="bottom"/>
    </xf>
    <xf numFmtId="49" fontId="6" fillId="4" borderId="5" applyNumberFormat="1" applyFont="1" applyFill="1" applyBorder="1" applyAlignment="1" applyProtection="0">
      <alignment vertical="bottom"/>
    </xf>
    <xf numFmtId="0" fontId="0" fillId="4" borderId="5" applyNumberFormat="0" applyFont="1" applyFill="1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7" fillId="4" borderId="5" applyNumberFormat="1" applyFont="1" applyFill="1" applyBorder="1" applyAlignment="1" applyProtection="0">
      <alignment vertical="bottom"/>
    </xf>
    <xf numFmtId="49" fontId="8" fillId="4" borderId="5" applyNumberFormat="1" applyFont="1" applyFill="1" applyBorder="1" applyAlignment="1" applyProtection="0">
      <alignment vertical="top" wrapText="1"/>
    </xf>
    <xf numFmtId="1" fontId="8" fillId="4" borderId="5" applyNumberFormat="1" applyFont="1" applyFill="1" applyBorder="1" applyAlignment="1" applyProtection="0">
      <alignment vertical="top" wrapText="1"/>
    </xf>
    <xf numFmtId="49" fontId="7" fillId="4" borderId="7" applyNumberFormat="1" applyFont="1" applyFill="1" applyBorder="1" applyAlignment="1" applyProtection="0">
      <alignment vertical="bottom"/>
    </xf>
    <xf numFmtId="0" fontId="0" fillId="4" borderId="7" applyNumberFormat="0" applyFont="1" applyFill="1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fillId="4" borderId="9" applyNumberFormat="0" applyFont="1" applyFill="1" applyBorder="1" applyAlignment="1" applyProtection="0">
      <alignment vertical="bottom"/>
    </xf>
    <xf numFmtId="49" fontId="9" fillId="5" borderId="10" applyNumberFormat="1" applyFont="1" applyFill="1" applyBorder="1" applyAlignment="1" applyProtection="0">
      <alignment horizontal="center" vertical="center" wrapText="1"/>
    </xf>
    <xf numFmtId="0" fontId="9" fillId="5" borderId="10" applyNumberFormat="0" applyFont="1" applyFill="1" applyBorder="1" applyAlignment="1" applyProtection="0">
      <alignment horizontal="center" vertical="center" wrapText="1"/>
    </xf>
    <xf numFmtId="49" fontId="10" fillId="4" borderId="10" applyNumberFormat="1" applyFont="1" applyFill="1" applyBorder="1" applyAlignment="1" applyProtection="0">
      <alignment horizontal="center" vertical="center"/>
    </xf>
    <xf numFmtId="0" fontId="10" fillId="4" borderId="10" applyNumberFormat="0" applyFont="1" applyFill="1" applyBorder="1" applyAlignment="1" applyProtection="0">
      <alignment horizontal="center" vertical="center"/>
    </xf>
    <xf numFmtId="0" fontId="0" fillId="4" borderId="1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2" fillId="4" borderId="1" applyNumberFormat="0" applyFont="1" applyFill="1" applyBorder="1" applyAlignment="1" applyProtection="0">
      <alignment vertical="bottom"/>
    </xf>
    <xf numFmtId="0" fontId="2" fillId="4" borderId="2" applyNumberFormat="0" applyFont="1" applyFill="1" applyBorder="1" applyAlignment="1" applyProtection="0">
      <alignment vertical="bottom"/>
    </xf>
    <xf numFmtId="0" fontId="2" fillId="4" borderId="4" applyNumberFormat="0" applyFont="1" applyFill="1" applyBorder="1" applyAlignment="1" applyProtection="0">
      <alignment vertical="bottom"/>
    </xf>
    <xf numFmtId="49" fontId="11" fillId="4" borderId="5" applyNumberFormat="1" applyFont="1" applyFill="1" applyBorder="1" applyAlignment="1" applyProtection="0">
      <alignment vertical="bottom"/>
    </xf>
    <xf numFmtId="0" fontId="2" fillId="4" borderId="5" applyNumberFormat="0" applyFont="1" applyFill="1" applyBorder="1" applyAlignment="1" applyProtection="0">
      <alignment vertical="bottom"/>
    </xf>
    <xf numFmtId="49" fontId="12" fillId="6" borderId="5" applyNumberFormat="1" applyFont="1" applyFill="1" applyBorder="1" applyAlignment="1" applyProtection="0">
      <alignment horizontal="left" vertical="center" wrapText="1"/>
    </xf>
    <xf numFmtId="1" fontId="13" fillId="6" borderId="5" applyNumberFormat="1" applyFont="1" applyFill="1" applyBorder="1" applyAlignment="1" applyProtection="0">
      <alignment horizontal="left" vertical="center" wrapText="1"/>
    </xf>
    <xf numFmtId="0" fontId="2" fillId="4" borderId="7" applyNumberFormat="0" applyFont="1" applyFill="1" applyBorder="1" applyAlignment="1" applyProtection="0">
      <alignment vertical="bottom"/>
    </xf>
    <xf numFmtId="0" fontId="2" fillId="4" borderId="9" applyNumberFormat="0" applyFont="1" applyFill="1" applyBorder="1" applyAlignment="1" applyProtection="0">
      <alignment vertical="bottom"/>
    </xf>
    <xf numFmtId="49" fontId="14" fillId="5" borderId="10" applyNumberFormat="1" applyFont="1" applyFill="1" applyBorder="1" applyAlignment="1" applyProtection="0">
      <alignment horizontal="center" vertical="center" wrapText="1"/>
    </xf>
    <xf numFmtId="0" fontId="0" borderId="12" applyNumberFormat="0" applyFont="1" applyFill="0" applyBorder="1" applyAlignment="1" applyProtection="0">
      <alignment vertical="bottom"/>
    </xf>
    <xf numFmtId="49" fontId="2" fillId="4" borderId="10" applyNumberFormat="1" applyFont="1" applyFill="1" applyBorder="1" applyAlignment="1" applyProtection="0">
      <alignment horizontal="center" vertical="center"/>
    </xf>
    <xf numFmtId="1" fontId="2" fillId="4" borderId="10" applyNumberFormat="1" applyFont="1" applyFill="1" applyBorder="1" applyAlignment="1" applyProtection="0">
      <alignment horizontal="center" vertical="center"/>
    </xf>
    <xf numFmtId="0" fontId="2" fillId="7" borderId="10" applyNumberFormat="0" applyFont="1" applyFill="1" applyBorder="1" applyAlignment="1" applyProtection="0">
      <alignment horizontal="center" vertical="center"/>
    </xf>
    <xf numFmtId="0" fontId="2" fillId="4" borderId="11" applyNumberFormat="0" applyFont="1" applyFill="1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15" fillId="4" borderId="1" applyNumberFormat="0" applyFont="1" applyFill="1" applyBorder="1" applyAlignment="1" applyProtection="0">
      <alignment vertical="bottom"/>
    </xf>
    <xf numFmtId="0" fontId="15" fillId="4" borderId="2" applyNumberFormat="0" applyFont="1" applyFill="1" applyBorder="1" applyAlignment="1" applyProtection="0">
      <alignment vertical="bottom"/>
    </xf>
    <xf numFmtId="0" fontId="15" fillId="4" borderId="4" applyNumberFormat="0" applyFont="1" applyFill="1" applyBorder="1" applyAlignment="1" applyProtection="0">
      <alignment vertical="bottom"/>
    </xf>
    <xf numFmtId="49" fontId="16" fillId="4" borderId="5" applyNumberFormat="1" applyFont="1" applyFill="1" applyBorder="1" applyAlignment="1" applyProtection="0">
      <alignment vertical="bottom"/>
    </xf>
    <xf numFmtId="0" fontId="15" fillId="4" borderId="5" applyNumberFormat="0" applyFont="1" applyFill="1" applyBorder="1" applyAlignment="1" applyProtection="0">
      <alignment vertical="bottom"/>
    </xf>
    <xf numFmtId="49" fontId="17" fillId="6" borderId="5" applyNumberFormat="1" applyFont="1" applyFill="1" applyBorder="1" applyAlignment="1" applyProtection="0">
      <alignment horizontal="left" vertical="center" wrapText="1"/>
    </xf>
    <xf numFmtId="0" fontId="15" fillId="4" borderId="7" applyNumberFormat="0" applyFont="1" applyFill="1" applyBorder="1" applyAlignment="1" applyProtection="0">
      <alignment vertical="bottom"/>
    </xf>
    <xf numFmtId="0" fontId="15" fillId="4" borderId="9" applyNumberFormat="0" applyFont="1" applyFill="1" applyBorder="1" applyAlignment="1" applyProtection="0">
      <alignment vertical="bottom"/>
    </xf>
    <xf numFmtId="49" fontId="18" fillId="5" borderId="10" applyNumberFormat="1" applyFont="1" applyFill="1" applyBorder="1" applyAlignment="1" applyProtection="0">
      <alignment horizontal="center" vertical="center" wrapText="1"/>
    </xf>
    <xf numFmtId="0" fontId="0" borderId="16" applyNumberFormat="0" applyFont="1" applyFill="0" applyBorder="1" applyAlignment="1" applyProtection="0">
      <alignment vertical="bottom"/>
    </xf>
    <xf numFmtId="49" fontId="15" fillId="4" borderId="10" applyNumberFormat="1" applyFont="1" applyFill="1" applyBorder="1" applyAlignment="1" applyProtection="0">
      <alignment horizontal="center" vertical="center"/>
    </xf>
    <xf numFmtId="1" fontId="15" fillId="4" borderId="10" applyNumberFormat="1" applyFont="1" applyFill="1" applyBorder="1" applyAlignment="1" applyProtection="0">
      <alignment horizontal="center" vertical="center"/>
    </xf>
    <xf numFmtId="0" fontId="15" fillId="7" borderId="10" applyNumberFormat="0" applyFont="1" applyFill="1" applyBorder="1" applyAlignment="1" applyProtection="0">
      <alignment horizontal="center" vertical="center"/>
    </xf>
    <xf numFmtId="0" fontId="15" fillId="4" borderId="11" applyNumberFormat="0" applyFont="1" applyFill="1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19" fillId="4" borderId="1" applyNumberFormat="0" applyFont="1" applyFill="1" applyBorder="1" applyAlignment="1" applyProtection="0">
      <alignment vertical="bottom"/>
    </xf>
    <xf numFmtId="0" fontId="19" fillId="4" borderId="2" applyNumberFormat="0" applyFont="1" applyFill="1" applyBorder="1" applyAlignment="1" applyProtection="0">
      <alignment vertical="bottom"/>
    </xf>
    <xf numFmtId="0" fontId="19" borderId="3" applyNumberFormat="0" applyFont="1" applyFill="0" applyBorder="1" applyAlignment="1" applyProtection="0">
      <alignment vertical="bottom"/>
    </xf>
    <xf numFmtId="0" fontId="19" fillId="4" borderId="4" applyNumberFormat="0" applyFont="1" applyFill="1" applyBorder="1" applyAlignment="1" applyProtection="0">
      <alignment vertical="bottom"/>
    </xf>
    <xf numFmtId="49" fontId="20" fillId="4" borderId="5" applyNumberFormat="1" applyFont="1" applyFill="1" applyBorder="1" applyAlignment="1" applyProtection="0">
      <alignment vertical="bottom"/>
    </xf>
    <xf numFmtId="0" fontId="19" fillId="4" borderId="5" applyNumberFormat="0" applyFont="1" applyFill="1" applyBorder="1" applyAlignment="1" applyProtection="0">
      <alignment vertical="bottom"/>
    </xf>
    <xf numFmtId="0" fontId="19" borderId="6" applyNumberFormat="0" applyFont="1" applyFill="0" applyBorder="1" applyAlignment="1" applyProtection="0">
      <alignment vertical="bottom"/>
    </xf>
    <xf numFmtId="49" fontId="21" fillId="6" borderId="5" applyNumberFormat="1" applyFont="1" applyFill="1" applyBorder="1" applyAlignment="1" applyProtection="0">
      <alignment horizontal="left" vertical="center" wrapText="1"/>
    </xf>
    <xf numFmtId="0" fontId="19" fillId="4" borderId="7" applyNumberFormat="0" applyFont="1" applyFill="1" applyBorder="1" applyAlignment="1" applyProtection="0">
      <alignment vertical="bottom"/>
    </xf>
    <xf numFmtId="0" fontId="19" fillId="4" borderId="9" applyNumberFormat="0" applyFont="1" applyFill="1" applyBorder="1" applyAlignment="1" applyProtection="0">
      <alignment vertical="bottom"/>
    </xf>
    <xf numFmtId="49" fontId="22" fillId="5" borderId="10" applyNumberFormat="1" applyFont="1" applyFill="1" applyBorder="1" applyAlignment="1" applyProtection="0">
      <alignment horizontal="center" vertical="center" wrapText="1"/>
    </xf>
    <xf numFmtId="0" fontId="19" borderId="16" applyNumberFormat="0" applyFont="1" applyFill="0" applyBorder="1" applyAlignment="1" applyProtection="0">
      <alignment vertical="bottom"/>
    </xf>
    <xf numFmtId="49" fontId="19" fillId="4" borderId="10" applyNumberFormat="1" applyFont="1" applyFill="1" applyBorder="1" applyAlignment="1" applyProtection="0">
      <alignment horizontal="center" vertical="center"/>
    </xf>
    <xf numFmtId="1" fontId="19" fillId="4" borderId="10" applyNumberFormat="1" applyFont="1" applyFill="1" applyBorder="1" applyAlignment="1" applyProtection="0">
      <alignment horizontal="center" vertical="center"/>
    </xf>
    <xf numFmtId="0" fontId="19" fillId="7" borderId="10" applyNumberFormat="0" applyFont="1" applyFill="1" applyBorder="1" applyAlignment="1" applyProtection="0">
      <alignment horizontal="center" vertical="center"/>
    </xf>
    <xf numFmtId="0" fontId="19" fillId="4" borderId="11" applyNumberFormat="0" applyFont="1" applyFill="1" applyBorder="1" applyAlignment="1" applyProtection="0">
      <alignment vertical="bottom"/>
    </xf>
    <xf numFmtId="0" fontId="19" borderId="17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4" borderId="3" applyNumberFormat="0" applyFont="1" applyFill="1" applyBorder="1" applyAlignment="1" applyProtection="0">
      <alignment vertical="bottom"/>
    </xf>
    <xf numFmtId="49" fontId="23" fillId="4" borderId="5" applyNumberFormat="1" applyFont="1" applyFill="1" applyBorder="1" applyAlignment="1" applyProtection="0">
      <alignment vertical="bottom"/>
    </xf>
    <xf numFmtId="0" fontId="24" fillId="4" borderId="5" applyNumberFormat="0" applyFont="1" applyFill="1" applyBorder="1" applyAlignment="1" applyProtection="0">
      <alignment vertical="bottom"/>
    </xf>
    <xf numFmtId="0" fontId="24" fillId="4" borderId="6" applyNumberFormat="0" applyFont="1" applyFill="1" applyBorder="1" applyAlignment="1" applyProtection="0">
      <alignment vertical="bottom"/>
    </xf>
    <xf numFmtId="49" fontId="25" fillId="6" borderId="5" applyNumberFormat="1" applyFont="1" applyFill="1" applyBorder="1" applyAlignment="1" applyProtection="0">
      <alignment horizontal="left" vertical="center" wrapText="1"/>
    </xf>
    <xf numFmtId="0" fontId="25" fillId="6" borderId="6" applyNumberFormat="0" applyFont="1" applyFill="1" applyBorder="1" applyAlignment="1" applyProtection="0">
      <alignment horizontal="left" vertical="center" wrapText="1"/>
    </xf>
    <xf numFmtId="0" fontId="24" fillId="4" borderId="7" applyNumberFormat="0" applyFont="1" applyFill="1" applyBorder="1" applyAlignment="1" applyProtection="0">
      <alignment vertical="bottom"/>
    </xf>
    <xf numFmtId="0" fontId="24" fillId="4" borderId="8" applyNumberFormat="0" applyFont="1" applyFill="1" applyBorder="1" applyAlignment="1" applyProtection="0">
      <alignment vertical="bottom"/>
    </xf>
    <xf numFmtId="49" fontId="26" fillId="5" borderId="10" applyNumberFormat="1" applyFont="1" applyFill="1" applyBorder="1" applyAlignment="1" applyProtection="0">
      <alignment horizontal="center" vertical="center" wrapText="1"/>
    </xf>
    <xf numFmtId="0" fontId="26" fillId="5" borderId="10" applyNumberFormat="0" applyFont="1" applyFill="1" applyBorder="1" applyAlignment="1" applyProtection="0">
      <alignment horizontal="center" vertical="center" wrapText="1"/>
    </xf>
    <xf numFmtId="49" fontId="24" fillId="4" borderId="10" applyNumberFormat="1" applyFont="1" applyFill="1" applyBorder="1" applyAlignment="1" applyProtection="0">
      <alignment horizontal="center" vertical="center"/>
    </xf>
    <xf numFmtId="1" fontId="24" fillId="4" borderId="10" applyNumberFormat="1" applyFont="1" applyFill="1" applyBorder="1" applyAlignment="1" applyProtection="0">
      <alignment horizontal="center" vertical="center"/>
    </xf>
    <xf numFmtId="49" fontId="24" fillId="4" borderId="10" applyNumberFormat="1" applyFont="1" applyFill="1" applyBorder="1" applyAlignment="1" applyProtection="0">
      <alignment horizontal="left" vertical="center"/>
    </xf>
    <xf numFmtId="0" fontId="24" fillId="7" borderId="10" applyNumberFormat="0" applyFont="1" applyFill="1" applyBorder="1" applyAlignment="1" applyProtection="0">
      <alignment horizontal="center" vertical="center"/>
    </xf>
    <xf numFmtId="1" fontId="24" fillId="4" borderId="10" applyNumberFormat="1" applyFont="1" applyFill="1" applyBorder="1" applyAlignment="1" applyProtection="0">
      <alignment horizontal="left" vertical="center"/>
    </xf>
    <xf numFmtId="0" fontId="0" applyNumberFormat="1" applyFont="1" applyFill="0" applyBorder="0" applyAlignment="1" applyProtection="0">
      <alignment vertical="bottom"/>
    </xf>
    <xf numFmtId="0" fontId="19" fillId="4" borderId="6" applyNumberFormat="0" applyFont="1" applyFill="1" applyBorder="1" applyAlignment="1" applyProtection="0">
      <alignment vertical="bottom"/>
    </xf>
    <xf numFmtId="49" fontId="20" fillId="4" borderId="7" applyNumberFormat="1" applyFont="1" applyFill="1" applyBorder="1" applyAlignment="1" applyProtection="0">
      <alignment vertical="bottom"/>
    </xf>
    <xf numFmtId="0" fontId="19" fillId="4" borderId="12" applyNumberFormat="0" applyFont="1" applyFill="1" applyBorder="1" applyAlignment="1" applyProtection="0">
      <alignment vertical="bottom"/>
    </xf>
    <xf numFmtId="0" fontId="19" fillId="4" borderId="18" applyNumberFormat="0" applyFont="1" applyFill="1" applyBorder="1" applyAlignment="1" applyProtection="0">
      <alignment vertical="bottom"/>
    </xf>
    <xf numFmtId="0" fontId="21" fillId="6" borderId="6" applyNumberFormat="0" applyFont="1" applyFill="1" applyBorder="1" applyAlignment="1" applyProtection="0">
      <alignment horizontal="left" vertical="center" wrapText="1"/>
    </xf>
    <xf numFmtId="49" fontId="22" fillId="5" borderId="19" applyNumberFormat="1" applyFont="1" applyFill="1" applyBorder="1" applyAlignment="1" applyProtection="0">
      <alignment horizontal="center" vertical="center" wrapText="1"/>
    </xf>
    <xf numFmtId="49" fontId="22" fillId="5" borderId="20" applyNumberFormat="1" applyFont="1" applyFill="1" applyBorder="1" applyAlignment="1" applyProtection="0">
      <alignment horizontal="center" vertical="center" wrapText="1"/>
    </xf>
    <xf numFmtId="0" fontId="22" fillId="5" borderId="21" applyNumberFormat="0" applyFont="1" applyFill="1" applyBorder="1" applyAlignment="1" applyProtection="0">
      <alignment horizontal="center" vertical="center" wrapText="1"/>
    </xf>
    <xf numFmtId="49" fontId="19" fillId="4" borderId="22" applyNumberFormat="1" applyFont="1" applyFill="1" applyBorder="1" applyAlignment="1" applyProtection="0">
      <alignment horizontal="center" vertical="center"/>
    </xf>
    <xf numFmtId="1" fontId="19" fillId="7" borderId="10" applyNumberFormat="1" applyFont="1" applyFill="1" applyBorder="1" applyAlignment="1" applyProtection="0">
      <alignment horizontal="center" vertical="center"/>
    </xf>
    <xf numFmtId="1" fontId="19" fillId="7" borderId="23" applyNumberFormat="1" applyFont="1" applyFill="1" applyBorder="1" applyAlignment="1" applyProtection="0">
      <alignment horizontal="center" vertical="center"/>
    </xf>
    <xf numFmtId="49" fontId="19" fillId="4" borderId="24" applyNumberFormat="1" applyFont="1" applyFill="1" applyBorder="1" applyAlignment="1" applyProtection="0">
      <alignment horizontal="center" vertical="bottom"/>
    </xf>
    <xf numFmtId="0" fontId="19" fillId="7" borderId="18" applyNumberFormat="0" applyFont="1" applyFill="1" applyBorder="1" applyAlignment="1" applyProtection="0">
      <alignment horizontal="center" vertical="center"/>
    </xf>
    <xf numFmtId="1" fontId="19" fillId="7" borderId="18" applyNumberFormat="1" applyFont="1" applyFill="1" applyBorder="1" applyAlignment="1" applyProtection="0">
      <alignment horizontal="center" vertical="center"/>
    </xf>
    <xf numFmtId="0" fontId="19" fillId="4" borderId="12" applyNumberFormat="0" applyFont="1" applyFill="1" applyBorder="1" applyAlignment="1" applyProtection="0">
      <alignment horizontal="center" vertical="bottom"/>
    </xf>
    <xf numFmtId="1" fontId="19" fillId="7" borderId="5" applyNumberFormat="1" applyFont="1" applyFill="1" applyBorder="1" applyAlignment="1" applyProtection="0">
      <alignment horizontal="center" vertical="center"/>
    </xf>
    <xf numFmtId="0" fontId="19" fillId="7" borderId="5" applyNumberFormat="0" applyFont="1" applyFill="1" applyBorder="1" applyAlignment="1" applyProtection="0">
      <alignment horizontal="center" vertical="center"/>
    </xf>
    <xf numFmtId="49" fontId="19" fillId="4" borderId="25" applyNumberFormat="1" applyFont="1" applyFill="1" applyBorder="1" applyAlignment="1" applyProtection="0">
      <alignment horizontal="center" vertical="center"/>
    </xf>
    <xf numFmtId="49" fontId="19" fillId="4" borderId="12" applyNumberFormat="1" applyFont="1" applyFill="1" applyBorder="1" applyAlignment="1" applyProtection="0">
      <alignment horizontal="center" vertical="bottom"/>
    </xf>
    <xf numFmtId="49" fontId="19" fillId="4" borderId="4" applyNumberFormat="1" applyFont="1" applyFill="1" applyBorder="1" applyAlignment="1" applyProtection="0">
      <alignment vertical="bottom"/>
    </xf>
    <xf numFmtId="49" fontId="21" fillId="6" borderId="7" applyNumberFormat="1" applyFont="1" applyFill="1" applyBorder="1" applyAlignment="1" applyProtection="0">
      <alignment horizontal="left" vertical="center" wrapText="1"/>
    </xf>
    <xf numFmtId="1" fontId="13" fillId="6" borderId="7" applyNumberFormat="1" applyFont="1" applyFill="1" applyBorder="1" applyAlignment="1" applyProtection="0">
      <alignment horizontal="left" vertical="center" wrapText="1"/>
    </xf>
    <xf numFmtId="0" fontId="21" fillId="6" borderId="8" applyNumberFormat="0" applyFont="1" applyFill="1" applyBorder="1" applyAlignment="1" applyProtection="0">
      <alignment horizontal="left" vertical="center" wrapText="1"/>
    </xf>
    <xf numFmtId="0" fontId="22" fillId="5" borderId="10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49" fontId="27" fillId="4" borderId="5" applyNumberFormat="1" applyFont="1" applyFill="1" applyBorder="1" applyAlignment="1" applyProtection="0">
      <alignment vertical="bottom"/>
    </xf>
    <xf numFmtId="49" fontId="10" fillId="4" borderId="10" applyNumberFormat="1" applyFont="1" applyFill="1" applyBorder="1" applyAlignment="1" applyProtection="0">
      <alignment horizontal="left" vertical="center" wrapText="1"/>
    </xf>
    <xf numFmtId="49" fontId="28" fillId="4" borderId="10" applyNumberFormat="1" applyFont="1" applyFill="1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1f4e78"/>
      <rgbColor rgb="ff404040"/>
      <rgbColor rgb="ffbfbfbf"/>
      <rgbColor rgb="ff833c00"/>
      <rgbColor rgb="fffff2cc"/>
      <rgbColor rgb="ffddebf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15</v>
      </c>
      <c r="C11" s="3"/>
      <c r="D11" s="3"/>
    </row>
    <row r="12">
      <c r="B12" s="4"/>
      <c r="C12" t="s" s="4">
        <v>5</v>
      </c>
      <c r="D12" t="s" s="5">
        <v>15</v>
      </c>
    </row>
    <row r="13">
      <c r="B13" t="s" s="3">
        <v>19</v>
      </c>
      <c r="C13" s="3"/>
      <c r="D13" s="3"/>
    </row>
    <row r="14">
      <c r="B14" s="4"/>
      <c r="C14" t="s" s="4">
        <v>5</v>
      </c>
      <c r="D14" t="s" s="5">
        <v>19</v>
      </c>
    </row>
    <row r="15">
      <c r="B15" t="s" s="3">
        <v>23</v>
      </c>
      <c r="C15" s="3"/>
      <c r="D15" s="3"/>
    </row>
    <row r="16">
      <c r="B16" s="4"/>
      <c r="C16" t="s" s="4">
        <v>5</v>
      </c>
      <c r="D16" t="s" s="5">
        <v>23</v>
      </c>
    </row>
    <row r="17">
      <c r="B17" t="s" s="3">
        <v>27</v>
      </c>
      <c r="C17" s="3"/>
      <c r="D17" s="3"/>
    </row>
    <row r="18">
      <c r="B18" s="4"/>
      <c r="C18" t="s" s="4">
        <v>5</v>
      </c>
      <c r="D18" t="s" s="5">
        <v>27</v>
      </c>
    </row>
    <row r="19">
      <c r="B19" t="s" s="3">
        <v>31</v>
      </c>
      <c r="C19" s="3"/>
      <c r="D19" s="3"/>
    </row>
    <row r="20">
      <c r="B20" s="4"/>
      <c r="C20" t="s" s="4">
        <v>5</v>
      </c>
      <c r="D20" t="s" s="5">
        <v>31</v>
      </c>
    </row>
    <row r="21">
      <c r="B21" t="s" s="3">
        <v>35</v>
      </c>
      <c r="C21" s="3"/>
      <c r="D21" s="3"/>
    </row>
    <row r="22">
      <c r="B22" s="4"/>
      <c r="C22" t="s" s="4">
        <v>5</v>
      </c>
      <c r="D22" t="s" s="5">
        <v>35</v>
      </c>
    </row>
  </sheetData>
  <mergeCells count="1">
    <mergeCell ref="B3:D3"/>
  </mergeCells>
  <hyperlinks>
    <hyperlink ref="D10" location="'Übersicht'!R1C1" tooltip="" display="Übersicht"/>
    <hyperlink ref="D12" location="'1_WENN'!R1C1" tooltip="" display="1_WENN"/>
    <hyperlink ref="D14" location="'2_Verschachtelte_WENN'!R1C1" tooltip="" display="2_Verschachtelte_WENN"/>
    <hyperlink ref="D16" location="'3_WENNS'!R1C1" tooltip="" display="3_WENNS"/>
    <hyperlink ref="D18" location="'4_UND_ODER_NICHT'!R1C1" tooltip="" display="4_UND_ODER_NICHT"/>
    <hyperlink ref="D20" location="'5_WENNFEHLER_WENNNV'!R1C1" tooltip="" display="5_WENNFEHLER_WENNNV"/>
    <hyperlink ref="D22" location="'Lösungen'!R1C1" tooltip="" display="Lösungen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G17"/>
  <sheetViews>
    <sheetView workbookViewId="0" showGridLines="0" defaultGridColor="1"/>
  </sheetViews>
  <sheetFormatPr defaultColWidth="8.66667" defaultRowHeight="15" customHeight="1" outlineLevelRow="0" outlineLevelCol="0"/>
  <cols>
    <col min="1" max="1" width="4.60156" style="6" customWidth="1"/>
    <col min="2" max="2" width="34.4922" style="6" customWidth="1"/>
    <col min="3" max="3" width="39.0938" style="6" customWidth="1"/>
    <col min="4" max="4" width="52.8984" style="6" customWidth="1"/>
    <col min="5" max="5" width="46.9609" style="6" customWidth="1"/>
    <col min="6" max="7" width="9.98438" style="6" customWidth="1"/>
    <col min="8" max="16384" width="8.67188" style="6" customWidth="1"/>
  </cols>
  <sheetData>
    <row r="1" ht="18.85" customHeight="1">
      <c r="A1" s="7"/>
      <c r="B1" s="8"/>
      <c r="C1" s="8"/>
      <c r="D1" s="8"/>
      <c r="E1" s="9"/>
      <c r="F1" s="9"/>
      <c r="G1" s="10"/>
    </row>
    <row r="2" ht="27.05" customHeight="1">
      <c r="A2" s="11"/>
      <c r="B2" t="s" s="12">
        <v>6</v>
      </c>
      <c r="C2" s="13"/>
      <c r="D2" s="13"/>
      <c r="E2" s="14"/>
      <c r="F2" s="14"/>
      <c r="G2" s="15"/>
    </row>
    <row r="3" ht="21.35" customHeight="1">
      <c r="A3" s="11"/>
      <c r="B3" t="s" s="16">
        <v>7</v>
      </c>
      <c r="C3" s="13"/>
      <c r="D3" s="13"/>
      <c r="E3" s="14"/>
      <c r="F3" s="14"/>
      <c r="G3" s="15"/>
    </row>
    <row r="4" ht="18.85" customHeight="1">
      <c r="A4" s="11"/>
      <c r="B4" s="13"/>
      <c r="C4" s="13"/>
      <c r="D4" s="13"/>
      <c r="E4" s="14"/>
      <c r="F4" s="14"/>
      <c r="G4" s="15"/>
    </row>
    <row r="5" ht="20.85" customHeight="1">
      <c r="A5" s="11"/>
      <c r="B5" t="s" s="17">
        <v>8</v>
      </c>
      <c r="C5" s="18"/>
      <c r="D5" s="18"/>
      <c r="E5" s="14"/>
      <c r="F5" s="14"/>
      <c r="G5" s="15"/>
    </row>
    <row r="6" ht="18.85" customHeight="1">
      <c r="A6" s="11"/>
      <c r="B6" s="18"/>
      <c r="C6" s="18"/>
      <c r="D6" s="18"/>
      <c r="E6" s="14"/>
      <c r="F6" s="14"/>
      <c r="G6" s="15"/>
    </row>
    <row r="7" ht="18.85" customHeight="1">
      <c r="A7" s="11"/>
      <c r="B7" s="18"/>
      <c r="C7" s="18"/>
      <c r="D7" s="18"/>
      <c r="E7" s="14"/>
      <c r="F7" s="14"/>
      <c r="G7" s="15"/>
    </row>
    <row r="8" ht="18.85" customHeight="1">
      <c r="A8" s="11"/>
      <c r="B8" s="18"/>
      <c r="C8" s="18"/>
      <c r="D8" s="18"/>
      <c r="E8" s="14"/>
      <c r="F8" s="14"/>
      <c r="G8" s="15"/>
    </row>
    <row r="9" ht="18.85" customHeight="1">
      <c r="A9" s="11"/>
      <c r="B9" s="13"/>
      <c r="C9" s="13"/>
      <c r="D9" s="13"/>
      <c r="E9" s="14"/>
      <c r="F9" s="14"/>
      <c r="G9" s="15"/>
    </row>
    <row r="10" ht="21.35" customHeight="1">
      <c r="A10" s="11"/>
      <c r="B10" t="s" s="19">
        <v>9</v>
      </c>
      <c r="C10" s="20"/>
      <c r="D10" s="20"/>
      <c r="E10" s="21"/>
      <c r="F10" s="21"/>
      <c r="G10" s="22"/>
    </row>
    <row r="11" ht="27.1" customHeight="1">
      <c r="A11" s="23"/>
      <c r="B11" t="s" s="24">
        <v>10</v>
      </c>
      <c r="C11" t="s" s="24">
        <v>11</v>
      </c>
      <c r="D11" t="s" s="24">
        <v>12</v>
      </c>
      <c r="E11" t="s" s="24">
        <v>13</v>
      </c>
      <c r="F11" s="25"/>
      <c r="G11" s="25"/>
    </row>
    <row r="12" ht="38.6" customHeight="1">
      <c r="A12" s="23"/>
      <c r="B12" t="s" s="26">
        <v>14</v>
      </c>
      <c r="C12" t="s" s="26">
        <v>15</v>
      </c>
      <c r="D12" t="s" s="26">
        <v>16</v>
      </c>
      <c r="E12" t="s" s="26">
        <v>17</v>
      </c>
      <c r="F12" s="27"/>
      <c r="G12" s="27"/>
    </row>
    <row r="13" ht="38.6" customHeight="1">
      <c r="A13" s="23"/>
      <c r="B13" t="s" s="26">
        <v>18</v>
      </c>
      <c r="C13" t="s" s="26">
        <v>19</v>
      </c>
      <c r="D13" t="s" s="26">
        <v>20</v>
      </c>
      <c r="E13" t="s" s="26">
        <v>21</v>
      </c>
      <c r="F13" s="27"/>
      <c r="G13" s="27"/>
    </row>
    <row r="14" ht="38.6" customHeight="1">
      <c r="A14" s="23"/>
      <c r="B14" t="s" s="26">
        <v>22</v>
      </c>
      <c r="C14" t="s" s="26">
        <v>23</v>
      </c>
      <c r="D14" t="s" s="26">
        <v>24</v>
      </c>
      <c r="E14" t="s" s="26">
        <v>25</v>
      </c>
      <c r="F14" s="27"/>
      <c r="G14" s="27"/>
    </row>
    <row r="15" ht="38.6" customHeight="1">
      <c r="A15" s="23"/>
      <c r="B15" t="s" s="26">
        <v>26</v>
      </c>
      <c r="C15" t="s" s="26">
        <v>27</v>
      </c>
      <c r="D15" t="s" s="26">
        <v>28</v>
      </c>
      <c r="E15" t="s" s="26">
        <v>29</v>
      </c>
      <c r="F15" s="27"/>
      <c r="G15" s="27"/>
    </row>
    <row r="16" ht="38.6" customHeight="1">
      <c r="A16" s="23"/>
      <c r="B16" t="s" s="26">
        <v>30</v>
      </c>
      <c r="C16" t="s" s="26">
        <v>31</v>
      </c>
      <c r="D16" t="s" s="26">
        <v>32</v>
      </c>
      <c r="E16" t="s" s="26">
        <v>33</v>
      </c>
      <c r="F16" s="27"/>
      <c r="G16" s="27"/>
    </row>
    <row r="17" ht="38.6" customHeight="1">
      <c r="A17" s="28"/>
      <c r="B17" t="s" s="26">
        <v>34</v>
      </c>
      <c r="C17" t="s" s="26">
        <v>35</v>
      </c>
      <c r="D17" t="s" s="26">
        <v>36</v>
      </c>
      <c r="E17" t="s" s="26">
        <v>37</v>
      </c>
      <c r="F17" s="27"/>
      <c r="G17" s="27"/>
    </row>
  </sheetData>
  <mergeCells count="1">
    <mergeCell ref="B5:D8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G18"/>
  <sheetViews>
    <sheetView workbookViewId="0" showGridLines="0" defaultGridColor="1"/>
  </sheetViews>
  <sheetFormatPr defaultColWidth="8.66667" defaultRowHeight="15" customHeight="1" outlineLevelRow="0" outlineLevelCol="0"/>
  <cols>
    <col min="1" max="1" width="7.07031" style="29" customWidth="1"/>
    <col min="2" max="2" width="31.8359" style="29" customWidth="1"/>
    <col min="3" max="4" width="38.875" style="29" customWidth="1"/>
    <col min="5" max="5" width="31.0781" style="29" customWidth="1"/>
    <col min="6" max="7" width="15.3125" style="29" customWidth="1"/>
    <col min="8" max="16384" width="8.67188" style="29" customWidth="1"/>
  </cols>
  <sheetData>
    <row r="1" ht="25.5" customHeight="1">
      <c r="A1" s="30"/>
      <c r="B1" s="31"/>
      <c r="C1" s="31"/>
      <c r="D1" s="31"/>
      <c r="E1" s="9"/>
      <c r="F1" s="9"/>
      <c r="G1" s="10"/>
    </row>
    <row r="2" ht="36.6" customHeight="1">
      <c r="A2" s="32"/>
      <c r="B2" t="s" s="33">
        <v>38</v>
      </c>
      <c r="C2" s="34"/>
      <c r="D2" s="34"/>
      <c r="E2" s="14"/>
      <c r="F2" s="14"/>
      <c r="G2" s="15"/>
    </row>
    <row r="3" ht="63.4" customHeight="1">
      <c r="A3" s="32"/>
      <c r="B3" t="s" s="35">
        <v>39</v>
      </c>
      <c r="C3" s="36"/>
      <c r="D3" s="36"/>
      <c r="E3" s="14"/>
      <c r="F3" s="14"/>
      <c r="G3" s="15"/>
    </row>
    <row r="4" ht="25.5" customHeight="1">
      <c r="A4" s="32"/>
      <c r="B4" s="37"/>
      <c r="C4" s="37"/>
      <c r="D4" s="37"/>
      <c r="E4" s="14"/>
      <c r="F4" s="14"/>
      <c r="G4" s="15"/>
    </row>
    <row r="5" ht="56.35" customHeight="1">
      <c r="A5" s="38"/>
      <c r="B5" t="s" s="39">
        <v>40</v>
      </c>
      <c r="C5" t="s" s="39">
        <v>41</v>
      </c>
      <c r="D5" t="s" s="39">
        <v>42</v>
      </c>
      <c r="E5" s="40"/>
      <c r="F5" s="14"/>
      <c r="G5" s="15"/>
    </row>
    <row r="6" ht="25.9" customHeight="1">
      <c r="A6" s="38"/>
      <c r="B6" t="s" s="41">
        <v>43</v>
      </c>
      <c r="C6" s="42">
        <v>120</v>
      </c>
      <c r="D6" t="str" s="43" cm="1">
        <f t="array" ref="D6">IF(C6&gt;180,"SLA verletzt","SLA eingehalten")</f>
        <v>SLA eingehalten</v>
      </c>
      <c r="E6" s="40"/>
      <c r="F6" s="14"/>
      <c r="G6" s="15"/>
    </row>
    <row r="7" ht="25.9" customHeight="1">
      <c r="A7" s="38"/>
      <c r="B7" t="s" s="41">
        <v>45</v>
      </c>
      <c r="C7" s="42">
        <v>200</v>
      </c>
      <c r="D7" t="str" s="43" cm="1">
        <f t="array" ref="D7">IF(C7&gt;180,"SLA verletzt","SLA eingehalten")</f>
        <v>SLA verletzt</v>
      </c>
      <c r="E7" s="40"/>
      <c r="F7" s="14"/>
      <c r="G7" s="15"/>
    </row>
    <row r="8" ht="25.9" customHeight="1">
      <c r="A8" s="38"/>
      <c r="B8" t="s" s="41">
        <v>47</v>
      </c>
      <c r="C8" s="42">
        <v>75</v>
      </c>
      <c r="D8" t="str" s="43" cm="1">
        <f t="array" ref="D8">IF(C8&gt;180,"SLA verletzt","SLA eingehalten")</f>
        <v>SLA eingehalten</v>
      </c>
      <c r="E8" s="40"/>
      <c r="F8" s="14"/>
      <c r="G8" s="15"/>
    </row>
    <row r="9" ht="25.9" customHeight="1">
      <c r="A9" s="38"/>
      <c r="B9" t="s" s="41">
        <v>48</v>
      </c>
      <c r="C9" s="42">
        <v>310</v>
      </c>
      <c r="D9" t="str" s="43" cm="1">
        <f t="array" ref="D9">IF(C9&gt;180,"SLA verletzt","SLA eingehalten")</f>
        <v>SLA verletzt</v>
      </c>
      <c r="E9" s="40"/>
      <c r="F9" s="14"/>
      <c r="G9" s="15"/>
    </row>
    <row r="10" ht="25.9" customHeight="1">
      <c r="A10" s="38"/>
      <c r="B10" t="s" s="41">
        <v>49</v>
      </c>
      <c r="C10" s="42">
        <v>180</v>
      </c>
      <c r="D10" t="str" s="43" cm="1">
        <f t="array" ref="D10">IF(C10&gt;180,"SLA verletzt","SLA eingehalten")</f>
        <v>SLA eingehalten</v>
      </c>
      <c r="E10" s="40"/>
      <c r="F10" s="14"/>
      <c r="G10" s="15"/>
    </row>
    <row r="11" ht="25.9" customHeight="1">
      <c r="A11" s="38"/>
      <c r="B11" t="s" s="41">
        <v>50</v>
      </c>
      <c r="C11" s="42">
        <v>45</v>
      </c>
      <c r="D11" t="str" s="43" cm="1">
        <f t="array" ref="D11">IF(C11&gt;180,"SLA verletzt","SLA eingehalten")</f>
        <v>SLA eingehalten</v>
      </c>
      <c r="E11" s="40"/>
      <c r="F11" s="14"/>
      <c r="G11" s="15"/>
    </row>
    <row r="12" ht="25.9" customHeight="1">
      <c r="A12" s="38"/>
      <c r="B12" t="s" s="41">
        <v>51</v>
      </c>
      <c r="C12" s="42">
        <v>260</v>
      </c>
      <c r="D12" t="str" s="43" cm="1">
        <f t="array" ref="D12">IF(C12&gt;180,"SLA verletzt","SLA eingehalten")</f>
        <v>SLA verletzt</v>
      </c>
      <c r="E12" s="40"/>
      <c r="F12" s="14"/>
      <c r="G12" s="15"/>
    </row>
    <row r="13" ht="25.9" customHeight="1">
      <c r="A13" s="38"/>
      <c r="B13" t="s" s="41">
        <v>52</v>
      </c>
      <c r="C13" s="42">
        <v>90</v>
      </c>
      <c r="D13" t="str" s="43" cm="1">
        <f t="array" ref="D13">IF(C13&gt;180,"SLA verletzt","SLA eingehalten")</f>
        <v>SLA eingehalten</v>
      </c>
      <c r="E13" s="40"/>
      <c r="F13" s="14"/>
      <c r="G13" s="15"/>
    </row>
    <row r="14" ht="25.9" customHeight="1">
      <c r="A14" s="38"/>
      <c r="B14" t="s" s="41">
        <v>53</v>
      </c>
      <c r="C14" s="42">
        <v>400</v>
      </c>
      <c r="D14" t="str" s="43" cm="1">
        <f t="array" ref="D14">IF(C14&gt;180,"SLA verletzt","SLA eingehalten")</f>
        <v>SLA verletzt</v>
      </c>
      <c r="E14" s="40"/>
      <c r="F14" s="14"/>
      <c r="G14" s="15"/>
    </row>
    <row r="15" ht="25.9" customHeight="1">
      <c r="A15" s="38"/>
      <c r="B15" t="s" s="41">
        <v>54</v>
      </c>
      <c r="C15" s="42">
        <v>150</v>
      </c>
      <c r="D15" t="str" s="43" cm="1">
        <f t="array" ref="D15">IF(C15&gt;180,"SLA verletzt","SLA eingehalten")</f>
        <v>SLA eingehalten</v>
      </c>
      <c r="E15" s="40"/>
      <c r="F15" s="14"/>
      <c r="G15" s="15"/>
    </row>
    <row r="16" ht="25.9" customHeight="1">
      <c r="A16" s="38"/>
      <c r="B16" t="s" s="41">
        <v>55</v>
      </c>
      <c r="C16" s="42">
        <v>200</v>
      </c>
      <c r="D16" t="str" s="43" cm="1">
        <f t="array" ref="D16">IF(C16&gt;180,"SLA verletzt","SLA eingehalten")</f>
        <v>SLA verletzt</v>
      </c>
      <c r="E16" s="40"/>
      <c r="F16" s="14"/>
      <c r="G16" s="15"/>
    </row>
    <row r="17" ht="25.9" customHeight="1">
      <c r="A17" s="38"/>
      <c r="B17" t="s" s="41">
        <v>56</v>
      </c>
      <c r="C17" s="42">
        <v>240</v>
      </c>
      <c r="D17" t="str" s="43" cm="1">
        <f t="array" ref="D17">IF(C17&gt;180,"SLA verletzt","SLA eingehalten")</f>
        <v>SLA verletzt</v>
      </c>
      <c r="E17" s="40"/>
      <c r="F17" s="14"/>
      <c r="G17" s="15"/>
    </row>
    <row r="18" ht="25.9" customHeight="1">
      <c r="A18" s="44"/>
      <c r="B18" t="s" s="41">
        <v>57</v>
      </c>
      <c r="C18" s="42">
        <v>120</v>
      </c>
      <c r="D18" t="str" s="43" cm="1">
        <f t="array" ref="D18">IF(C18&gt;180,"SLA verletzt","SLA eingehalten")</f>
        <v>SLA eingehalten</v>
      </c>
      <c r="E18" s="45"/>
      <c r="F18" s="46"/>
      <c r="G18" s="47"/>
    </row>
  </sheetData>
  <mergeCells count="1">
    <mergeCell ref="B3:D3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5"/>
  <sheetViews>
    <sheetView workbookViewId="0" showGridLines="0" defaultGridColor="1"/>
  </sheetViews>
  <sheetFormatPr defaultColWidth="8.66667" defaultRowHeight="15" customHeight="1" outlineLevelRow="0" outlineLevelCol="0"/>
  <cols>
    <col min="1" max="1" width="9.47656" style="48" customWidth="1"/>
    <col min="2" max="2" width="42.5625" style="48" customWidth="1"/>
    <col min="3" max="3" width="52.0469" style="48" customWidth="1"/>
    <col min="4" max="4" width="42.5625" style="48" customWidth="1"/>
    <col min="5" max="5" width="20.5156" style="48" customWidth="1"/>
    <col min="6" max="16384" width="8.67188" style="48" customWidth="1"/>
  </cols>
  <sheetData>
    <row r="1" ht="27.8" customHeight="1">
      <c r="A1" s="49"/>
      <c r="B1" s="50"/>
      <c r="C1" s="50"/>
      <c r="D1" s="50"/>
      <c r="E1" s="10"/>
    </row>
    <row r="2" ht="39.9" customHeight="1">
      <c r="A2" s="51"/>
      <c r="B2" t="s" s="52">
        <v>58</v>
      </c>
      <c r="C2" s="53"/>
      <c r="D2" s="53"/>
      <c r="E2" s="15"/>
    </row>
    <row r="3" ht="69.2" customHeight="1">
      <c r="A3" s="51"/>
      <c r="B3" t="s" s="54">
        <v>59</v>
      </c>
      <c r="C3" s="36"/>
      <c r="D3" s="36"/>
      <c r="E3" s="15"/>
    </row>
    <row r="4" ht="27.8" customHeight="1">
      <c r="A4" s="51"/>
      <c r="B4" s="55"/>
      <c r="C4" s="55"/>
      <c r="D4" s="55"/>
      <c r="E4" s="15"/>
    </row>
    <row r="5" ht="61.5" customHeight="1">
      <c r="A5" s="56"/>
      <c r="B5" t="s" s="57">
        <v>40</v>
      </c>
      <c r="C5" t="s" s="57">
        <v>41</v>
      </c>
      <c r="D5" t="s" s="57">
        <v>60</v>
      </c>
      <c r="E5" s="58"/>
    </row>
    <row r="6" ht="28.25" customHeight="1">
      <c r="A6" s="56"/>
      <c r="B6" t="s" s="59">
        <v>43</v>
      </c>
      <c r="C6" s="60">
        <v>520</v>
      </c>
      <c r="D6" t="str" s="61" cm="1">
        <f t="array" ref="D6">IF(C6&gt;480,"Hoch",IF(C6&gt;240,"Mittel","Niedrig"))</f>
        <v>Hoch</v>
      </c>
      <c r="E6" s="58"/>
    </row>
    <row r="7" ht="28.25" customHeight="1">
      <c r="A7" s="56"/>
      <c r="B7" t="s" s="59">
        <v>45</v>
      </c>
      <c r="C7" s="60">
        <v>310</v>
      </c>
      <c r="D7" t="str" s="61" cm="1">
        <f t="array" ref="D7">IF(C7&gt;480,"Hoch",IF(C7&gt;240,"Mittel","Niedrig"))</f>
        <v>Mittel</v>
      </c>
      <c r="E7" s="58"/>
    </row>
    <row r="8" ht="28.25" customHeight="1">
      <c r="A8" s="56"/>
      <c r="B8" t="s" s="59">
        <v>47</v>
      </c>
      <c r="C8" s="60">
        <v>150</v>
      </c>
      <c r="D8" t="str" s="61" cm="1">
        <f t="array" ref="D8">IF(C8&gt;480,"Hoch",IF(C8&gt;240,"Mittel","Niedrig"))</f>
        <v>Niedrig</v>
      </c>
      <c r="E8" s="58"/>
    </row>
    <row r="9" ht="28.25" customHeight="1">
      <c r="A9" s="56"/>
      <c r="B9" t="s" s="59">
        <v>48</v>
      </c>
      <c r="C9" s="60">
        <v>610</v>
      </c>
      <c r="D9" t="str" s="61" cm="1">
        <f t="array" ref="D9">IF(C9&gt;480,"Hoch",IF(C9&gt;240,"Mittel","Niedrig"))</f>
        <v>Hoch</v>
      </c>
      <c r="E9" s="58"/>
    </row>
    <row r="10" ht="28.25" customHeight="1">
      <c r="A10" s="56"/>
      <c r="B10" t="s" s="59">
        <v>49</v>
      </c>
      <c r="C10" s="60">
        <v>90</v>
      </c>
      <c r="D10" t="str" s="61" cm="1">
        <f t="array" ref="D10">IF(C10&gt;480,"Hoch",IF(C10&gt;240,"Mittel","Niedrig"))</f>
        <v>Niedrig</v>
      </c>
      <c r="E10" s="58"/>
    </row>
    <row r="11" ht="28.25" customHeight="1">
      <c r="A11" s="56"/>
      <c r="B11" t="s" s="59">
        <v>50</v>
      </c>
      <c r="C11" s="60">
        <v>260</v>
      </c>
      <c r="D11" t="str" s="61" cm="1">
        <f t="array" ref="D11">IF(C11&gt;480,"Hoch",IF(C11&gt;240,"Mittel","Niedrig"))</f>
        <v>Mittel</v>
      </c>
      <c r="E11" s="58"/>
    </row>
    <row r="12" ht="28.25" customHeight="1">
      <c r="A12" s="56"/>
      <c r="B12" t="s" s="59">
        <v>51</v>
      </c>
      <c r="C12" s="60">
        <v>480</v>
      </c>
      <c r="D12" t="str" s="61" cm="1">
        <f t="array" ref="D12">IF(C12&gt;480,"Hoch",IF(C12&gt;240,"Mittel","Niedrig"))</f>
        <v>Mittel</v>
      </c>
      <c r="E12" s="58"/>
    </row>
    <row r="13" ht="28.25" customHeight="1">
      <c r="A13" s="56"/>
      <c r="B13" t="s" s="59">
        <v>52</v>
      </c>
      <c r="C13" s="60">
        <v>200</v>
      </c>
      <c r="D13" t="str" s="61" cm="1">
        <f t="array" ref="D13">IF(C13&gt;480,"Hoch",IF(C13&gt;240,"Mittel","Niedrig"))</f>
        <v>Niedrig</v>
      </c>
      <c r="E13" s="58"/>
    </row>
    <row r="14" ht="28.25" customHeight="1">
      <c r="A14" s="56"/>
      <c r="B14" t="s" s="59">
        <v>53</v>
      </c>
      <c r="C14" s="60">
        <v>75</v>
      </c>
      <c r="D14" t="str" s="61" cm="1">
        <f t="array" ref="D14">IF(C14&gt;480,"Hoch",IF(C14&gt;240,"Mittel","Niedrig"))</f>
        <v>Niedrig</v>
      </c>
      <c r="E14" s="58"/>
    </row>
    <row r="15" ht="28.25" customHeight="1">
      <c r="A15" s="62"/>
      <c r="B15" t="s" s="59">
        <v>54</v>
      </c>
      <c r="C15" s="60">
        <v>350</v>
      </c>
      <c r="D15" t="str" s="61" cm="1">
        <f t="array" ref="D15">IF(C15&gt;480,"Hoch",IF(C15&gt;240,"Mittel","Niedrig"))</f>
        <v>Mittel</v>
      </c>
      <c r="E15" s="63"/>
    </row>
  </sheetData>
  <mergeCells count="1">
    <mergeCell ref="B3:D3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15"/>
  <sheetViews>
    <sheetView workbookViewId="0" showGridLines="0" defaultGridColor="1"/>
  </sheetViews>
  <sheetFormatPr defaultColWidth="8.66667" defaultRowHeight="15" customHeight="1" outlineLevelRow="0" outlineLevelCol="0"/>
  <cols>
    <col min="1" max="1" width="8.90625" style="64" customWidth="1"/>
    <col min="2" max="2" width="40.0234" style="64" customWidth="1"/>
    <col min="3" max="3" width="48.9297" style="64" customWidth="1"/>
    <col min="4" max="4" width="40.0234" style="64" customWidth="1"/>
    <col min="5" max="5" width="19.2812" style="64" customWidth="1"/>
    <col min="6" max="16384" width="8.67188" style="64" customWidth="1"/>
  </cols>
  <sheetData>
    <row r="1" ht="30" customHeight="1">
      <c r="A1" s="65"/>
      <c r="B1" s="66"/>
      <c r="C1" s="66"/>
      <c r="D1" s="66"/>
      <c r="E1" s="67"/>
    </row>
    <row r="2" ht="43.05" customHeight="1">
      <c r="A2" s="68"/>
      <c r="B2" t="s" s="69">
        <v>64</v>
      </c>
      <c r="C2" s="70"/>
      <c r="D2" s="70"/>
      <c r="E2" s="71"/>
    </row>
    <row r="3" ht="74.65" customHeight="1">
      <c r="A3" s="68"/>
      <c r="B3" t="s" s="72">
        <v>65</v>
      </c>
      <c r="C3" s="36"/>
      <c r="D3" s="36"/>
      <c r="E3" s="71"/>
    </row>
    <row r="4" ht="30" customHeight="1">
      <c r="A4" s="68"/>
      <c r="B4" s="73"/>
      <c r="C4" s="73"/>
      <c r="D4" s="73"/>
      <c r="E4" s="71"/>
    </row>
    <row r="5" ht="66.35" customHeight="1">
      <c r="A5" s="74"/>
      <c r="B5" t="s" s="75">
        <v>40</v>
      </c>
      <c r="C5" t="s" s="75">
        <v>41</v>
      </c>
      <c r="D5" t="s" s="75">
        <v>60</v>
      </c>
      <c r="E5" s="76"/>
    </row>
    <row r="6" ht="30.5" customHeight="1">
      <c r="A6" s="74"/>
      <c r="B6" t="s" s="77">
        <v>66</v>
      </c>
      <c r="C6" s="78">
        <v>600</v>
      </c>
      <c r="D6" t="str" s="79" cm="1">
        <f t="array" ref="D6">_xlfn.IFS(C6&gt;480,"Hoch",C6&gt;240,"Mittel",TRUE,"Niedrig")</f>
        <v>Hoch</v>
      </c>
      <c r="E6" s="76"/>
    </row>
    <row r="7" ht="30.5" customHeight="1">
      <c r="A7" s="74"/>
      <c r="B7" t="s" s="77">
        <v>67</v>
      </c>
      <c r="C7" s="78">
        <v>150</v>
      </c>
      <c r="D7" t="str" s="79" cm="1">
        <f t="array" ref="D7">_xlfn.IFS(C7&gt;480,"Hoch",C7&gt;240,"Mittel",TRUE,"Niedrig")</f>
        <v>Niedrig</v>
      </c>
      <c r="E7" s="76"/>
    </row>
    <row r="8" ht="30.5" customHeight="1">
      <c r="A8" s="74"/>
      <c r="B8" t="s" s="77">
        <v>68</v>
      </c>
      <c r="C8" s="78">
        <v>330</v>
      </c>
      <c r="D8" t="str" s="79" cm="1">
        <f t="array" ref="D8">_xlfn.IFS(C8&gt;480,"Hoch",C8&gt;240,"Mittel",TRUE,"Niedrig")</f>
        <v>Mittel</v>
      </c>
      <c r="E8" s="76"/>
    </row>
    <row r="9" ht="30.5" customHeight="1">
      <c r="A9" s="74"/>
      <c r="B9" t="s" s="77">
        <v>69</v>
      </c>
      <c r="C9" s="78">
        <v>80</v>
      </c>
      <c r="D9" t="str" s="79" cm="1">
        <f t="array" ref="D9">_xlfn.IFS(C9&gt;480,"Hoch",C9&gt;240,"Mittel",TRUE,"Niedrig")</f>
        <v>Niedrig</v>
      </c>
      <c r="E9" s="76"/>
    </row>
    <row r="10" ht="30.5" customHeight="1">
      <c r="A10" s="74"/>
      <c r="B10" t="s" s="77">
        <v>70</v>
      </c>
      <c r="C10" s="78">
        <v>490</v>
      </c>
      <c r="D10" t="str" s="79" cm="1">
        <f t="array" ref="D10">_xlfn.IFS(C10&gt;480,"Hoch",C10&gt;240,"Mittel",TRUE,"Niedrig")</f>
        <v>Hoch</v>
      </c>
      <c r="E10" s="76"/>
    </row>
    <row r="11" ht="30.5" customHeight="1">
      <c r="A11" s="74"/>
      <c r="B11" t="s" s="77">
        <v>71</v>
      </c>
      <c r="C11" s="78">
        <v>250</v>
      </c>
      <c r="D11" t="str" s="79" cm="1">
        <f t="array" ref="D11">_xlfn.IFS(C11&gt;480,"Hoch",C11&gt;240,"Mittel",TRUE,"Niedrig")</f>
        <v>Mittel</v>
      </c>
      <c r="E11" s="76"/>
    </row>
    <row r="12" ht="30.5" customHeight="1">
      <c r="A12" s="74"/>
      <c r="B12" t="s" s="77">
        <v>72</v>
      </c>
      <c r="C12" s="78">
        <v>40</v>
      </c>
      <c r="D12" t="str" s="79" cm="1">
        <f t="array" ref="D12">_xlfn.IFS(C12&gt;480,"Hoch",C12&gt;240,"Mittel",TRUE,"Niedrig")</f>
        <v>Niedrig</v>
      </c>
      <c r="E12" s="76"/>
    </row>
    <row r="13" ht="30.5" customHeight="1">
      <c r="A13" s="74"/>
      <c r="B13" t="s" s="77">
        <v>73</v>
      </c>
      <c r="C13" s="78">
        <v>510</v>
      </c>
      <c r="D13" t="str" s="79" cm="1">
        <f t="array" ref="D13">_xlfn.IFS(C13&gt;480,"Hoch",C13&gt;240,"Mittel",TRUE,"Niedrig")</f>
        <v>Hoch</v>
      </c>
      <c r="E13" s="76"/>
    </row>
    <row r="14" ht="30.5" customHeight="1">
      <c r="A14" s="74"/>
      <c r="B14" t="s" s="77">
        <v>74</v>
      </c>
      <c r="C14" s="78">
        <v>300</v>
      </c>
      <c r="D14" t="str" s="79" cm="1">
        <f t="array" ref="D14">_xlfn.IFS(C14&gt;480,"Hoch",C14&gt;240,"Mittel",TRUE,"Niedrig")</f>
        <v>Mittel</v>
      </c>
      <c r="E14" s="76"/>
    </row>
    <row r="15" ht="30.5" customHeight="1">
      <c r="A15" s="80"/>
      <c r="B15" t="s" s="77">
        <v>75</v>
      </c>
      <c r="C15" s="78">
        <v>120</v>
      </c>
      <c r="D15" t="str" s="79" cm="1">
        <f t="array" ref="D15">_xlfn.IFS(C15&gt;480,"Hoch",C15&gt;240,"Mittel",TRUE,"Niedrig")</f>
        <v>Niedrig</v>
      </c>
      <c r="E15" s="81"/>
    </row>
  </sheetData>
  <mergeCells count="1">
    <mergeCell ref="B3:D3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I15"/>
  <sheetViews>
    <sheetView workbookViewId="0" showGridLines="0" defaultGridColor="1"/>
  </sheetViews>
  <sheetFormatPr defaultColWidth="8.66667" defaultRowHeight="15" customHeight="1" outlineLevelRow="0" outlineLevelCol="0"/>
  <cols>
    <col min="1" max="1" width="5.85938" style="82" customWidth="1"/>
    <col min="2" max="2" width="23.4297" style="82" customWidth="1"/>
    <col min="3" max="3" width="29.2969" style="82" customWidth="1"/>
    <col min="4" max="4" width="23.4297" style="82" customWidth="1"/>
    <col min="5" max="5" width="41" style="82" customWidth="1"/>
    <col min="6" max="7" width="23.4297" style="82" customWidth="1"/>
    <col min="8" max="9" width="26.3438" style="82" customWidth="1"/>
    <col min="10" max="16384" width="8.67188" style="82" customWidth="1"/>
  </cols>
  <sheetData>
    <row r="1" ht="28.6" customHeight="1">
      <c r="A1" s="7"/>
      <c r="B1" s="8"/>
      <c r="C1" s="8"/>
      <c r="D1" s="8"/>
      <c r="E1" s="8"/>
      <c r="F1" s="8"/>
      <c r="G1" s="8"/>
      <c r="H1" s="8"/>
      <c r="I1" s="83"/>
    </row>
    <row r="2" ht="41.05" customHeight="1">
      <c r="A2" s="11"/>
      <c r="B2" t="s" s="84">
        <v>76</v>
      </c>
      <c r="C2" s="85"/>
      <c r="D2" s="85"/>
      <c r="E2" s="85"/>
      <c r="F2" s="85"/>
      <c r="G2" s="85"/>
      <c r="H2" s="85"/>
      <c r="I2" s="86"/>
    </row>
    <row r="3" ht="71.15" customHeight="1">
      <c r="A3" s="11"/>
      <c r="B3" t="s" s="87">
        <v>77</v>
      </c>
      <c r="C3" s="36"/>
      <c r="D3" s="36"/>
      <c r="E3" s="36"/>
      <c r="F3" s="36"/>
      <c r="G3" s="36"/>
      <c r="H3" s="36"/>
      <c r="I3" s="88"/>
    </row>
    <row r="4" ht="28.6" customHeight="1">
      <c r="A4" s="11"/>
      <c r="B4" s="89"/>
      <c r="C4" s="89"/>
      <c r="D4" s="89"/>
      <c r="E4" s="89"/>
      <c r="F4" s="89"/>
      <c r="G4" s="89"/>
      <c r="H4" s="89"/>
      <c r="I4" s="90"/>
    </row>
    <row r="5" ht="71.15" customHeight="1">
      <c r="A5" s="23"/>
      <c r="B5" t="s" s="91">
        <v>40</v>
      </c>
      <c r="C5" t="s" s="91">
        <v>41</v>
      </c>
      <c r="D5" t="s" s="91">
        <v>78</v>
      </c>
      <c r="E5" t="s" s="91">
        <v>79</v>
      </c>
      <c r="F5" t="s" s="91">
        <v>80</v>
      </c>
      <c r="G5" t="s" s="91">
        <v>81</v>
      </c>
      <c r="H5" t="s" s="91">
        <v>82</v>
      </c>
      <c r="I5" s="92"/>
    </row>
    <row r="6" ht="29.05" customHeight="1">
      <c r="A6" s="23"/>
      <c r="B6" t="s" s="93">
        <v>83</v>
      </c>
      <c r="C6" s="94">
        <v>310</v>
      </c>
      <c r="D6" t="s" s="93">
        <v>84</v>
      </c>
      <c r="E6" t="s" s="95">
        <v>85</v>
      </c>
      <c r="F6" t="str" s="96" cm="1">
        <f t="array" ref="F6">IF(AND(C6&gt;240,D6="REKLAMATION"),"KRITISCH","NORMAL")</f>
        <v>KRITISCH</v>
      </c>
      <c r="G6" t="str" s="96" cm="1">
        <f t="array" ref="G6">IF(OR(D6="REKLAMATION",D6="ESKALATION"),"Sonderfall","Standardfall")</f>
        <v>Sonderfall</v>
      </c>
      <c r="H6" t="str" s="96" cm="1">
        <f t="array" ref="H6">IF(NOT(ISBLANK(E6)),"Erfasst","Fehlt")</f>
        <v>Erfasst</v>
      </c>
      <c r="I6" t="str" s="96" cm="1">
        <f t="array" ref="I6">IF(ISBLANK(E6),"Fehlt","Erfasst")</f>
        <v>Erfasst</v>
      </c>
    </row>
    <row r="7" ht="29.05" customHeight="1">
      <c r="A7" s="23"/>
      <c r="B7" t="s" s="93">
        <v>89</v>
      </c>
      <c r="C7" s="94">
        <v>150</v>
      </c>
      <c r="D7" t="s" s="93">
        <v>90</v>
      </c>
      <c r="E7" s="97"/>
      <c r="F7" t="str" s="96" cm="1">
        <f t="array" ref="F7">IF(AND(C7&gt;240,D7="REKLAMATION"),"KRITISCH","NORMAL")</f>
        <v>NORMAL</v>
      </c>
      <c r="G7" t="str" s="96" cm="1">
        <f t="array" ref="G7">IF(OR(D7="REKLAMATION",D7="ESKALATION"),"Sonderfall","Standardfall")</f>
        <v>Standardfall</v>
      </c>
      <c r="H7" t="str" s="96" cm="1">
        <f t="array" ref="H7">IF(NOT(ISBLANK(E7)),"Erfasst","Fehlt")</f>
        <v>Fehlt</v>
      </c>
      <c r="I7" t="str" s="96" cm="1">
        <f t="array" ref="I7">IF(ISBLANK(E7),"Fehlt","Erfasst")</f>
        <v>Fehlt</v>
      </c>
    </row>
    <row r="8" ht="29.05" customHeight="1">
      <c r="A8" s="23"/>
      <c r="B8" t="s" s="93">
        <v>94</v>
      </c>
      <c r="C8" s="94">
        <v>260</v>
      </c>
      <c r="D8" t="s" s="93">
        <v>95</v>
      </c>
      <c r="E8" t="s" s="95">
        <v>96</v>
      </c>
      <c r="F8" t="str" s="96" cm="1">
        <f t="array" ref="F8">IF(AND(C8&gt;240,D8="REKLAMATION"),"KRITISCH","NORMAL")</f>
        <v>NORMAL</v>
      </c>
      <c r="G8" t="str" s="96" cm="1">
        <f t="array" ref="G8">IF(OR(D8="REKLAMATION",D8="ESKALATION"),"Sonderfall","Standardfall")</f>
        <v>Sonderfall</v>
      </c>
      <c r="H8" t="str" s="96" cm="1">
        <f t="array" ref="H8">IF(NOT(ISBLANK(E8)),"Erfasst","Fehlt")</f>
        <v>Erfasst</v>
      </c>
      <c r="I8" t="str" s="96" cm="1">
        <f t="array" ref="I8">IF(ISBLANK(E8),"Fehlt","Erfasst")</f>
        <v>Erfasst</v>
      </c>
    </row>
    <row r="9" ht="29.05" customHeight="1">
      <c r="A9" s="23"/>
      <c r="B9" t="s" s="93">
        <v>97</v>
      </c>
      <c r="C9" s="94">
        <v>90</v>
      </c>
      <c r="D9" t="s" s="93">
        <v>90</v>
      </c>
      <c r="E9" s="97"/>
      <c r="F9" t="str" s="96" cm="1">
        <f t="array" ref="F9">IF(AND(C9&gt;240,D9="REKLAMATION"),"KRITISCH","NORMAL")</f>
        <v>NORMAL</v>
      </c>
      <c r="G9" t="str" s="96" cm="1">
        <f t="array" ref="G9">IF(OR(D9="REKLAMATION",D9="ESKALATION"),"Sonderfall","Standardfall")</f>
        <v>Standardfall</v>
      </c>
      <c r="H9" t="str" s="96" cm="1">
        <f t="array" ref="H9">IF(NOT(ISBLANK(E9)),"Erfasst","Fehlt")</f>
        <v>Fehlt</v>
      </c>
      <c r="I9" t="str" s="96" cm="1">
        <f t="array" ref="I9">IF(ISBLANK(E9),"Fehlt","Erfasst")</f>
        <v>Fehlt</v>
      </c>
    </row>
    <row r="10" ht="29.05" customHeight="1">
      <c r="A10" s="23"/>
      <c r="B10" t="s" s="93">
        <v>98</v>
      </c>
      <c r="C10" s="94">
        <v>400</v>
      </c>
      <c r="D10" t="s" s="93">
        <v>84</v>
      </c>
      <c r="E10" s="97"/>
      <c r="F10" t="str" s="96" cm="1">
        <f t="array" ref="F10">IF(AND(C10&gt;240,D10="REKLAMATION"),"KRITISCH","NORMAL")</f>
        <v>KRITISCH</v>
      </c>
      <c r="G10" t="str" s="96" cm="1">
        <f t="array" ref="G10">IF(OR(D10="REKLAMATION",D10="ESKALATION"),"Sonderfall","Standardfall")</f>
        <v>Sonderfall</v>
      </c>
      <c r="H10" t="str" s="96" cm="1">
        <f t="array" ref="H10">IF(NOT(ISBLANK(E10)),"Erfasst","Fehlt")</f>
        <v>Fehlt</v>
      </c>
      <c r="I10" t="str" s="96" cm="1">
        <f t="array" ref="I10">IF(ISBLANK(E10),"Fehlt","Erfasst")</f>
        <v>Fehlt</v>
      </c>
    </row>
    <row r="11" ht="29.05" customHeight="1">
      <c r="A11" s="23"/>
      <c r="B11" t="s" s="93">
        <v>99</v>
      </c>
      <c r="C11" s="94">
        <v>200</v>
      </c>
      <c r="D11" t="s" s="93">
        <v>100</v>
      </c>
      <c r="E11" t="s" s="95">
        <v>101</v>
      </c>
      <c r="F11" t="str" s="96" cm="1">
        <f t="array" ref="F11">IF(AND(C11&gt;240,D11="REKLAMATION"),"KRITISCH","NORMAL")</f>
        <v>NORMAL</v>
      </c>
      <c r="G11" t="str" s="96" cm="1">
        <f t="array" ref="G11">IF(OR(D11="REKLAMATION",D11="ESKALATION"),"Sonderfall","Standardfall")</f>
        <v>Standardfall</v>
      </c>
      <c r="H11" t="str" s="96" cm="1">
        <f t="array" ref="H11">IF(NOT(ISBLANK(E11)),"Erfasst","Fehlt")</f>
        <v>Erfasst</v>
      </c>
      <c r="I11" t="str" s="96" cm="1">
        <f t="array" ref="I11">IF(ISBLANK(E11),"Fehlt","Erfasst")</f>
        <v>Erfasst</v>
      </c>
    </row>
    <row r="12" ht="29.05" customHeight="1">
      <c r="A12" s="23"/>
      <c r="B12" t="s" s="93">
        <v>102</v>
      </c>
      <c r="C12" s="94">
        <v>330</v>
      </c>
      <c r="D12" t="s" s="93">
        <v>95</v>
      </c>
      <c r="E12" s="97"/>
      <c r="F12" t="str" s="96" cm="1">
        <f t="array" ref="F12">IF(AND(C12&gt;240,D12="REKLAMATION"),"KRITISCH","NORMAL")</f>
        <v>NORMAL</v>
      </c>
      <c r="G12" t="str" s="96" cm="1">
        <f t="array" ref="G12">IF(OR(D12="REKLAMATION",D12="ESKALATION"),"Sonderfall","Standardfall")</f>
        <v>Sonderfall</v>
      </c>
      <c r="H12" t="str" s="96" cm="1">
        <f t="array" ref="H12">IF(NOT(ISBLANK(E12)),"Erfasst","Fehlt")</f>
        <v>Fehlt</v>
      </c>
      <c r="I12" t="str" s="96" cm="1">
        <f t="array" ref="I12">IF(ISBLANK(E12),"Fehlt","Erfasst")</f>
        <v>Fehlt</v>
      </c>
    </row>
    <row r="13" ht="29.05" customHeight="1">
      <c r="A13" s="23"/>
      <c r="B13" t="s" s="93">
        <v>103</v>
      </c>
      <c r="C13" s="94">
        <v>60</v>
      </c>
      <c r="D13" t="s" s="93">
        <v>90</v>
      </c>
      <c r="E13" t="s" s="95">
        <v>104</v>
      </c>
      <c r="F13" t="str" s="96" cm="1">
        <f t="array" ref="F13">IF(AND(C13&gt;240,D13="REKLAMATION"),"KRITISCH","NORMAL")</f>
        <v>NORMAL</v>
      </c>
      <c r="G13" t="str" s="96" cm="1">
        <f t="array" ref="G13">IF(OR(D13="REKLAMATION",D13="ESKALATION"),"Sonderfall","Standardfall")</f>
        <v>Standardfall</v>
      </c>
      <c r="H13" t="str" s="96" cm="1">
        <f t="array" ref="H13">IF(NOT(ISBLANK(E13)),"Erfasst","Fehlt")</f>
        <v>Erfasst</v>
      </c>
      <c r="I13" t="str" s="96" cm="1">
        <f t="array" ref="I13">IF(ISBLANK(E13),"Fehlt","Erfasst")</f>
        <v>Erfasst</v>
      </c>
    </row>
    <row r="14" ht="29.05" customHeight="1">
      <c r="A14" s="23"/>
      <c r="B14" t="s" s="93">
        <v>105</v>
      </c>
      <c r="C14" s="94">
        <v>280</v>
      </c>
      <c r="D14" t="s" s="93">
        <v>84</v>
      </c>
      <c r="E14" t="s" s="95">
        <v>106</v>
      </c>
      <c r="F14" t="str" s="96" cm="1">
        <f t="array" ref="F14">IF(AND(C14&gt;240,D14="REKLAMATION"),"KRITISCH","NORMAL")</f>
        <v>KRITISCH</v>
      </c>
      <c r="G14" t="str" s="96" cm="1">
        <f t="array" ref="G14">IF(OR(D14="REKLAMATION",D14="ESKALATION"),"Sonderfall","Standardfall")</f>
        <v>Sonderfall</v>
      </c>
      <c r="H14" t="str" s="96" cm="1">
        <f t="array" ref="H14">IF(NOT(ISBLANK(E14)),"Erfasst","Fehlt")</f>
        <v>Erfasst</v>
      </c>
      <c r="I14" t="str" s="96" cm="1">
        <f t="array" ref="I14">IF(ISBLANK(E14),"Fehlt","Erfasst")</f>
        <v>Erfasst</v>
      </c>
    </row>
    <row r="15" ht="29.05" customHeight="1">
      <c r="A15" s="28"/>
      <c r="B15" t="s" s="93">
        <v>107</v>
      </c>
      <c r="C15" s="94">
        <v>140</v>
      </c>
      <c r="D15" t="s" s="93">
        <v>100</v>
      </c>
      <c r="E15" s="97"/>
      <c r="F15" t="str" s="96" cm="1">
        <f t="array" ref="F15">IF(AND(C15&gt;240,D15="REKLAMATION"),"KRITISCH","NORMAL")</f>
        <v>NORMAL</v>
      </c>
      <c r="G15" t="str" s="96" cm="1">
        <f t="array" ref="G15">IF(OR(D15="REKLAMATION",D15="ESKALATION"),"Sonderfall","Standardfall")</f>
        <v>Standardfall</v>
      </c>
      <c r="H15" t="str" s="96" cm="1">
        <f t="array" ref="H15">IF(NOT(ISBLANK(E15)),"Erfasst","Fehlt")</f>
        <v>Fehlt</v>
      </c>
      <c r="I15" t="str" s="96" cm="1">
        <f t="array" ref="I15">IF(ISBLANK(E15),"Fehlt","Erfasst")</f>
        <v>Fehlt</v>
      </c>
    </row>
  </sheetData>
  <mergeCells count="1">
    <mergeCell ref="B3:H3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H36"/>
  <sheetViews>
    <sheetView workbookViewId="0" showGridLines="0" defaultGridColor="1"/>
  </sheetViews>
  <sheetFormatPr defaultColWidth="8.66667" defaultRowHeight="15.4" customHeight="1" outlineLevelRow="0" outlineLevelCol="0"/>
  <cols>
    <col min="1" max="1" width="4.86719" style="98" customWidth="1"/>
    <col min="2" max="2" width="21.875" style="98" customWidth="1"/>
    <col min="3" max="3" width="19.4531" style="98" customWidth="1"/>
    <col min="4" max="4" width="31.5859" style="98" customWidth="1"/>
    <col min="5" max="8" width="36.4609" style="98" customWidth="1"/>
    <col min="9" max="16384" width="8.67188" style="98" customWidth="1"/>
  </cols>
  <sheetData>
    <row r="1" ht="17.55" customHeight="1">
      <c r="A1" s="7"/>
      <c r="B1" s="8"/>
      <c r="C1" s="8"/>
      <c r="D1" s="8"/>
      <c r="E1" s="8"/>
      <c r="F1" s="8"/>
      <c r="G1" s="8"/>
      <c r="H1" s="83"/>
    </row>
    <row r="2" ht="25.2" customHeight="1">
      <c r="A2" s="68"/>
      <c r="B2" t="s" s="69">
        <v>108</v>
      </c>
      <c r="C2" s="70"/>
      <c r="D2" s="70"/>
      <c r="E2" s="70"/>
      <c r="F2" s="70"/>
      <c r="G2" s="70"/>
      <c r="H2" s="99"/>
    </row>
    <row r="3" ht="17.55" customHeight="1">
      <c r="A3" s="68"/>
      <c r="B3" s="70"/>
      <c r="C3" s="70"/>
      <c r="D3" s="70"/>
      <c r="E3" s="70"/>
      <c r="F3" s="70"/>
      <c r="G3" s="70"/>
      <c r="H3" s="99"/>
    </row>
    <row r="4" ht="19.85" customHeight="1">
      <c r="A4" s="68"/>
      <c r="B4" t="s" s="100">
        <v>109</v>
      </c>
      <c r="C4" s="73"/>
      <c r="D4" s="70"/>
      <c r="E4" s="70"/>
      <c r="F4" s="70"/>
      <c r="G4" s="70"/>
      <c r="H4" s="99"/>
    </row>
    <row r="5" ht="17.55" customHeight="1">
      <c r="A5" s="74"/>
      <c r="B5" t="s" s="75">
        <v>110</v>
      </c>
      <c r="C5" t="s" s="75">
        <v>111</v>
      </c>
      <c r="D5" s="101"/>
      <c r="E5" s="70"/>
      <c r="F5" s="70"/>
      <c r="G5" s="70"/>
      <c r="H5" s="99"/>
    </row>
    <row r="6" ht="17.85" customHeight="1">
      <c r="A6" s="74"/>
      <c r="B6" t="s" s="77">
        <v>112</v>
      </c>
      <c r="C6" t="s" s="77">
        <v>113</v>
      </c>
      <c r="D6" s="101"/>
      <c r="E6" s="70"/>
      <c r="F6" s="70"/>
      <c r="G6" s="70"/>
      <c r="H6" s="99"/>
    </row>
    <row r="7" ht="17.85" customHeight="1">
      <c r="A7" s="74"/>
      <c r="B7" t="s" s="77">
        <v>114</v>
      </c>
      <c r="C7" t="s" s="77">
        <v>115</v>
      </c>
      <c r="D7" s="101"/>
      <c r="E7" s="70"/>
      <c r="F7" s="70"/>
      <c r="G7" s="70"/>
      <c r="H7" s="99"/>
    </row>
    <row r="8" ht="17.85" customHeight="1">
      <c r="A8" s="74"/>
      <c r="B8" t="s" s="77">
        <v>116</v>
      </c>
      <c r="C8" t="s" s="77">
        <v>117</v>
      </c>
      <c r="D8" s="101"/>
      <c r="E8" s="70"/>
      <c r="F8" s="70"/>
      <c r="G8" s="70"/>
      <c r="H8" s="99"/>
    </row>
    <row r="9" ht="17.85" customHeight="1">
      <c r="A9" s="74"/>
      <c r="B9" t="s" s="77">
        <v>118</v>
      </c>
      <c r="C9" t="s" s="77">
        <v>119</v>
      </c>
      <c r="D9" s="101"/>
      <c r="E9" s="70"/>
      <c r="F9" s="70"/>
      <c r="G9" s="70"/>
      <c r="H9" s="99"/>
    </row>
    <row r="10" ht="17.85" customHeight="1">
      <c r="A10" s="74"/>
      <c r="B10" t="s" s="77">
        <v>120</v>
      </c>
      <c r="C10" t="s" s="77">
        <v>121</v>
      </c>
      <c r="D10" s="101"/>
      <c r="E10" s="70"/>
      <c r="F10" s="70"/>
      <c r="G10" s="70"/>
      <c r="H10" s="99"/>
    </row>
    <row r="11" ht="17.55" customHeight="1">
      <c r="A11" s="68"/>
      <c r="B11" s="102"/>
      <c r="C11" s="102"/>
      <c r="D11" s="70"/>
      <c r="E11" s="70"/>
      <c r="F11" s="70"/>
      <c r="G11" s="70"/>
      <c r="H11" s="99"/>
    </row>
    <row r="12" ht="93.45" customHeight="1">
      <c r="A12" s="68"/>
      <c r="B12" t="s" s="72">
        <v>122</v>
      </c>
      <c r="C12" s="36"/>
      <c r="D12" s="36"/>
      <c r="E12" s="36"/>
      <c r="F12" s="13"/>
      <c r="G12" s="36"/>
      <c r="H12" s="103"/>
    </row>
    <row r="13" ht="38.8" customHeight="1">
      <c r="A13" s="68"/>
      <c r="B13" t="s" s="104">
        <v>40</v>
      </c>
      <c r="C13" t="s" s="105">
        <v>110</v>
      </c>
      <c r="D13" t="s" s="105">
        <v>123</v>
      </c>
      <c r="E13" t="s" s="105">
        <v>124</v>
      </c>
      <c r="F13" t="s" s="105">
        <v>124</v>
      </c>
      <c r="G13" t="s" s="105">
        <v>125</v>
      </c>
      <c r="H13" s="106"/>
    </row>
    <row r="14" ht="17.85" customHeight="1">
      <c r="A14" s="68"/>
      <c r="B14" t="s" s="107">
        <v>126</v>
      </c>
      <c r="C14" t="s" s="77">
        <v>114</v>
      </c>
      <c r="D14" t="str" s="79" cm="1">
        <f t="array" ref="D14">VLOOKUP(B14,B14:C20,2,FALSE)</f>
        <v>K002</v>
      </c>
      <c r="E14" t="str" s="79" cm="1">
        <f t="array" ref="E14">_xlfn.IFERROR(VLOOKUP(B14,$B$14:$C$28,2,FALSE),"Nicht gefunden")</f>
        <v>K002</v>
      </c>
      <c r="F14" t="str" s="79" cm="1">
        <f t="array" ref="F14">_xlfn.IFERROR(IF(VLOOKUP(B14,$B$14:$C$28,2,FALSE)=0,"Nicht gefunden",VLOOKUP(B14,$B$14:$C$28,2,FALSE)),"Nicht gefunden")</f>
        <v>K002</v>
      </c>
      <c r="G14" t="e" s="108">
        <v>#NULL!</v>
      </c>
      <c r="H14" s="109"/>
    </row>
    <row r="15" ht="17.85" customHeight="1">
      <c r="A15" s="68"/>
      <c r="B15" t="s" s="107">
        <v>128</v>
      </c>
      <c r="C15" t="s" s="77">
        <v>120</v>
      </c>
      <c r="D15" t="str" s="79" cm="1">
        <f t="array" ref="D15">VLOOKUP(B15,B15:C21,2,FALSE)</f>
        <v>K005</v>
      </c>
      <c r="E15" t="str" s="79" cm="1">
        <f t="array" ref="E15">_xlfn.IFERROR(VLOOKUP(B15,$B$14:$C$28,2,FALSE),"Nicht gefunden")</f>
        <v>K005</v>
      </c>
      <c r="F15" t="str" s="79" cm="1">
        <f t="array" ref="F15">_xlfn.IFERROR(IF(VLOOKUP(B15,$B$14:$C$28,2,FALSE)=0,"Nicht gefunden",VLOOKUP(B15,$B$14:$C$28,2,FALSE)),"Nicht gefunden")</f>
        <v>K005</v>
      </c>
      <c r="G15" s="108"/>
      <c r="H15" s="109"/>
    </row>
    <row r="16" ht="17.85" customHeight="1">
      <c r="A16" s="68"/>
      <c r="B16" t="s" s="107">
        <v>130</v>
      </c>
      <c r="C16" t="s" s="77">
        <v>131</v>
      </c>
      <c r="D16" t="str" s="79" cm="1">
        <f t="array" ref="D16">VLOOKUP(B16,B16:C22,2,FALSE)</f>
        <v>K099</v>
      </c>
      <c r="E16" t="str" s="79" cm="1">
        <f t="array" ref="E16">_xlfn.IFERROR(VLOOKUP(B16,$B$14:$C$28,2,FALSE),"Nicht gefunden")</f>
        <v>K099</v>
      </c>
      <c r="F16" t="str" s="79" cm="1">
        <f t="array" ref="F16">_xlfn.IFERROR(IF(VLOOKUP(B16,$B$14:$C$28,2,FALSE)=0,"Nicht gefunden",VLOOKUP(B16,$B$14:$C$28,2,FALSE)),"Nicht gefunden")</f>
        <v>K099</v>
      </c>
      <c r="G16" s="108"/>
      <c r="H16" s="109"/>
    </row>
    <row r="17" ht="17.85" customHeight="1">
      <c r="A17" s="68"/>
      <c r="B17" t="s" s="107">
        <v>133</v>
      </c>
      <c r="C17" t="s" s="77">
        <v>112</v>
      </c>
      <c r="D17" t="str" s="79" cm="1">
        <f t="array" ref="D17">VLOOKUP(B17,B17:C23,2,FALSE)</f>
        <v>K001</v>
      </c>
      <c r="E17" t="str" s="79" cm="1">
        <f t="array" ref="E17">_xlfn.IFERROR(VLOOKUP(B17,$B$14:$C$28,2,FALSE),"Nicht gefunden")</f>
        <v>K001</v>
      </c>
      <c r="F17" t="str" s="79" cm="1">
        <f t="array" ref="F17">_xlfn.IFERROR(IF(VLOOKUP(B17,$B$14:$C$28,2,FALSE)=0,"Nicht gefunden",VLOOKUP(B17,$B$14:$C$28,2,FALSE)),"Nicht gefunden")</f>
        <v>K001</v>
      </c>
      <c r="G17" s="108"/>
      <c r="H17" s="109"/>
    </row>
    <row r="18" ht="17.85" customHeight="1">
      <c r="A18" s="68"/>
      <c r="B18" t="s" s="107">
        <v>135</v>
      </c>
      <c r="C18" t="s" s="77">
        <v>136</v>
      </c>
      <c r="D18" t="str" s="79" cm="1">
        <f t="array" ref="D18">VLOOKUP(B18,B18:C24,2,FALSE)</f>
        <v>K100</v>
      </c>
      <c r="E18" t="str" s="79" cm="1">
        <f t="array" ref="E18">_xlfn.IFERROR(VLOOKUP(B18,$B$14:$C$28,2,FALSE),"Nicht gefunden")</f>
        <v>K100</v>
      </c>
      <c r="F18" t="str" s="79" cm="1">
        <f t="array" ref="F18">_xlfn.IFERROR(IF(VLOOKUP(B18,$B$14:$C$28,2,FALSE)=0,"Nicht gefunden",VLOOKUP(B18,$B$14:$C$28,2,FALSE)),"Nicht gefunden")</f>
        <v>K100</v>
      </c>
      <c r="G18" s="108"/>
      <c r="H18" s="109"/>
    </row>
    <row r="19" ht="17.85" customHeight="1">
      <c r="A19" s="68"/>
      <c r="B19" t="s" s="107">
        <v>138</v>
      </c>
      <c r="C19" t="s" s="77">
        <v>116</v>
      </c>
      <c r="D19" t="str" s="79" cm="1">
        <f t="array" ref="D19">VLOOKUP(B19,B19:C25,2,FALSE)</f>
        <v>K003</v>
      </c>
      <c r="E19" t="str" s="79" cm="1">
        <f t="array" ref="E19">_xlfn.IFERROR(VLOOKUP(B19,$B$14:$C$28,2,FALSE),"Nicht gefunden")</f>
        <v>K003</v>
      </c>
      <c r="F19" t="str" s="79" cm="1">
        <f t="array" ref="F19">_xlfn.IFERROR(IF(VLOOKUP(B19,$B$14:$C$28,2,FALSE)=0,"Nicht gefunden",VLOOKUP(B19,$B$14:$C$28,2,FALSE)),"Nicht gefunden")</f>
        <v>K003</v>
      </c>
      <c r="G19" s="108"/>
      <c r="H19" s="109"/>
    </row>
    <row r="20" ht="17.85" customHeight="1">
      <c r="A20" s="68"/>
      <c r="B20" t="s" s="107">
        <v>140</v>
      </c>
      <c r="C20" t="s" s="77">
        <v>118</v>
      </c>
      <c r="D20" t="str" s="79" cm="1">
        <f t="array" ref="D20">VLOOKUP(B20,B20:C26,2,FALSE)</f>
        <v>K004</v>
      </c>
      <c r="E20" t="str" s="79" cm="1">
        <f t="array" ref="E20">_xlfn.IFERROR(VLOOKUP(B20,$B$14:$C$28,2,FALSE),"Nicht gefunden")</f>
        <v>K004</v>
      </c>
      <c r="F20" t="str" s="79" cm="1">
        <f t="array" ref="F20">_xlfn.IFERROR(IF(VLOOKUP(B20,$B$14:$C$28,2,FALSE)=0,"Nicht gefunden",VLOOKUP(B20,$B$14:$C$28,2,FALSE)),"Nicht gefunden")</f>
        <v>K004</v>
      </c>
      <c r="G20" s="108"/>
      <c r="H20" s="109"/>
    </row>
    <row r="21" ht="17.55" customHeight="1">
      <c r="A21" s="68"/>
      <c r="B21" t="s" s="107">
        <v>142</v>
      </c>
      <c r="C21" t="s" s="110">
        <v>143</v>
      </c>
      <c r="D21" t="str" s="111" cm="1">
        <f t="array" ref="D21">VLOOKUP(B21,B21:C27,2,FALSE)</f>
        <v>K200</v>
      </c>
      <c r="E21" t="str" s="111" cm="1">
        <f t="array" ref="E21">_xlfn.IFERROR(VLOOKUP(B21,$B$14:$C$28,2,FALSE),"Nicht gefunden")</f>
        <v>K200</v>
      </c>
      <c r="F21" t="str" s="111" cm="1">
        <f t="array" ref="F21">_xlfn.IFERROR(IF(VLOOKUP(B21,$B$14:$C$28,2,FALSE)=0,"Nicht gefunden",VLOOKUP(B21,$B$14:$C$28,2,FALSE)),"Nicht gefunden")</f>
        <v>K200</v>
      </c>
      <c r="G21" s="112"/>
      <c r="H21" s="112"/>
    </row>
    <row r="22" ht="17.55" customHeight="1">
      <c r="A22" s="68"/>
      <c r="B22" t="s" s="107">
        <v>145</v>
      </c>
      <c r="C22" s="113"/>
      <c r="D22" s="114" cm="1">
        <f t="array" ref="D22">VLOOKUP(B22,B22:C28,2,FALSE)</f>
        <v>0</v>
      </c>
      <c r="E22" s="114" cm="1">
        <f t="array" ref="E22">_xlfn.IFERROR(VLOOKUP(B22,$B$14:$C$28,2,FALSE),"Nicht gefunden")</f>
        <v>0</v>
      </c>
      <c r="F22" t="str" s="115" cm="1">
        <f t="array" ref="F22">_xlfn.IFERROR(IF(VLOOKUP(B22,$B$14:$C$28,2,FALSE)=0,"Nicht gefunden",VLOOKUP(B22,$B$14:$C$28,2,FALSE)),"Nicht gefunden")</f>
        <v>Nicht gefunden</v>
      </c>
      <c r="G22" s="114"/>
      <c r="H22" s="114"/>
    </row>
    <row r="23" ht="17.55" customHeight="1">
      <c r="A23" s="68"/>
      <c r="B23" t="s" s="116">
        <v>147</v>
      </c>
      <c r="C23" t="s" s="117">
        <v>148</v>
      </c>
      <c r="D23" t="str" s="115" cm="1">
        <f t="array" ref="D23">VLOOKUP(B23,B23:C29,2,FALSE)</f>
        <v>K125</v>
      </c>
      <c r="E23" t="str" s="115" cm="1">
        <f t="array" ref="E23">_xlfn.IFERROR(VLOOKUP(B23,$B$14:$C$28,2,FALSE),"Nicht gefunden")</f>
        <v>K125</v>
      </c>
      <c r="F23" t="str" s="115" cm="1">
        <f t="array" ref="F23">_xlfn.IFERROR(IF(VLOOKUP(B23,$B$14:$C$28,2,FALSE)=0,"Nicht gefunden",VLOOKUP(B23,$B$14:$C$28,2,FALSE)),"Nicht gefunden")</f>
        <v>K125</v>
      </c>
      <c r="G23" s="114"/>
      <c r="H23" s="114"/>
    </row>
    <row r="24" ht="17.55" customHeight="1">
      <c r="A24" s="68"/>
      <c r="B24" s="70"/>
      <c r="C24" s="70"/>
      <c r="D24" s="70"/>
      <c r="E24" s="70"/>
      <c r="F24" s="70"/>
      <c r="G24" s="70"/>
      <c r="H24" s="99"/>
    </row>
    <row r="25" ht="17.55" customHeight="1">
      <c r="A25" s="68"/>
      <c r="B25" s="70"/>
      <c r="C25" s="70"/>
      <c r="D25" s="70"/>
      <c r="E25" s="70"/>
      <c r="F25" s="70"/>
      <c r="G25" s="70"/>
      <c r="H25" s="99"/>
    </row>
    <row r="26" ht="17.55" customHeight="1">
      <c r="A26" t="s" s="118">
        <v>150</v>
      </c>
      <c r="B26" s="70"/>
      <c r="C26" s="70"/>
      <c r="D26" s="70"/>
      <c r="E26" s="70"/>
      <c r="F26" s="70"/>
      <c r="G26" s="70"/>
      <c r="H26" s="99"/>
    </row>
    <row r="27" ht="17.55" customHeight="1">
      <c r="A27" t="s" s="118">
        <v>151</v>
      </c>
      <c r="B27" s="70"/>
      <c r="C27" s="70"/>
      <c r="D27" s="70"/>
      <c r="E27" s="70"/>
      <c r="F27" s="70"/>
      <c r="G27" s="70"/>
      <c r="H27" s="99"/>
    </row>
    <row r="28" ht="17.55" customHeight="1">
      <c r="A28" t="s" s="118">
        <v>152</v>
      </c>
      <c r="B28" s="70"/>
      <c r="C28" s="70"/>
      <c r="D28" s="70"/>
      <c r="E28" s="70"/>
      <c r="F28" s="70"/>
      <c r="G28" s="70"/>
      <c r="H28" s="99"/>
    </row>
    <row r="29" ht="17.55" customHeight="1">
      <c r="A29" t="s" s="118">
        <v>153</v>
      </c>
      <c r="B29" s="70"/>
      <c r="C29" s="70"/>
      <c r="D29" s="70"/>
      <c r="E29" s="70"/>
      <c r="F29" s="70"/>
      <c r="G29" s="70"/>
      <c r="H29" s="99"/>
    </row>
    <row r="30" ht="17.55" customHeight="1">
      <c r="A30" s="68"/>
      <c r="B30" s="70"/>
      <c r="C30" s="70"/>
      <c r="D30" s="70"/>
      <c r="E30" s="70"/>
      <c r="F30" s="70"/>
      <c r="G30" s="70"/>
      <c r="H30" s="99"/>
    </row>
    <row r="31" ht="17.55" customHeight="1">
      <c r="A31" s="68"/>
      <c r="B31" s="70"/>
      <c r="C31" s="70"/>
      <c r="D31" s="70"/>
      <c r="E31" s="70"/>
      <c r="F31" s="70"/>
      <c r="G31" s="70"/>
      <c r="H31" s="99"/>
    </row>
    <row r="32" ht="92.5" customHeight="1">
      <c r="A32" s="68"/>
      <c r="B32" t="s" s="119">
        <v>154</v>
      </c>
      <c r="C32" s="120"/>
      <c r="D32" s="120"/>
      <c r="E32" s="120"/>
      <c r="F32" s="20"/>
      <c r="G32" s="120"/>
      <c r="H32" s="121"/>
    </row>
    <row r="33" ht="38.8" customHeight="1">
      <c r="A33" s="74"/>
      <c r="B33" t="s" s="75">
        <v>40</v>
      </c>
      <c r="C33" t="s" s="75">
        <v>155</v>
      </c>
      <c r="D33" t="s" s="75">
        <v>156</v>
      </c>
      <c r="E33" t="s" s="75">
        <v>157</v>
      </c>
      <c r="F33" s="122"/>
      <c r="G33" t="s" s="75">
        <v>158</v>
      </c>
      <c r="H33" s="122"/>
    </row>
    <row r="34" ht="17.85" customHeight="1">
      <c r="A34" s="74"/>
      <c r="B34" t="s" s="77">
        <v>159</v>
      </c>
      <c r="C34" s="78">
        <v>4500</v>
      </c>
      <c r="D34" s="78">
        <v>9</v>
      </c>
      <c r="E34" s="108" cm="1">
        <f t="array" ref="E34">_xlfn.IFERROR(C34/D34,"Nicht berechenbar")</f>
        <v>500</v>
      </c>
      <c r="F34" s="108"/>
      <c r="G34" s="108"/>
      <c r="H34" s="108"/>
    </row>
    <row r="35" ht="17.85" customHeight="1">
      <c r="A35" s="74"/>
      <c r="B35" t="s" s="77">
        <v>160</v>
      </c>
      <c r="C35" s="78">
        <v>1200</v>
      </c>
      <c r="D35" s="78">
        <v>0</v>
      </c>
      <c r="E35" t="str" s="79" cm="1">
        <f t="array" ref="E35">_xlfn.IFERROR(C35/D35,"Nicht berechenbar")</f>
        <v>Nicht berechenbar</v>
      </c>
      <c r="F35" s="108"/>
      <c r="G35" s="108"/>
      <c r="H35" s="108"/>
    </row>
    <row r="36" ht="17.85" customHeight="1">
      <c r="A36" s="80"/>
      <c r="B36" t="s" s="77">
        <v>162</v>
      </c>
      <c r="C36" s="78">
        <v>8000</v>
      </c>
      <c r="D36" s="78">
        <v>16</v>
      </c>
      <c r="E36" s="108" cm="1">
        <f t="array" ref="E36">_xlfn.IFERROR(C36/D36,"Nicht berechenbar")</f>
        <v>500</v>
      </c>
      <c r="F36" s="108"/>
      <c r="G36" s="108"/>
      <c r="H36" s="108"/>
    </row>
  </sheetData>
  <mergeCells count="2">
    <mergeCell ref="B12:G12"/>
    <mergeCell ref="B32:G32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E16"/>
  <sheetViews>
    <sheetView workbookViewId="0" showGridLines="0" defaultGridColor="1"/>
  </sheetViews>
  <sheetFormatPr defaultColWidth="8.66667" defaultRowHeight="15" customHeight="1" outlineLevelRow="0" outlineLevelCol="0"/>
  <cols>
    <col min="1" max="1" width="4" style="123" customWidth="1"/>
    <col min="2" max="2" width="26" style="123" customWidth="1"/>
    <col min="3" max="3" width="62" style="123" customWidth="1"/>
    <col min="4" max="4" width="46" style="123" customWidth="1"/>
    <col min="5" max="5" width="8.67188" style="123" customWidth="1"/>
    <col min="6" max="16384" width="8.67188" style="123" customWidth="1"/>
  </cols>
  <sheetData>
    <row r="1" ht="13.55" customHeight="1">
      <c r="A1" s="7"/>
      <c r="B1" s="8"/>
      <c r="C1" s="8"/>
      <c r="D1" s="8"/>
      <c r="E1" s="10"/>
    </row>
    <row r="2" ht="19.45" customHeight="1">
      <c r="A2" s="11"/>
      <c r="B2" t="s" s="12">
        <v>35</v>
      </c>
      <c r="C2" s="13"/>
      <c r="D2" s="13"/>
      <c r="E2" s="15"/>
    </row>
    <row r="3" ht="13.55" customHeight="1">
      <c r="A3" s="11"/>
      <c r="B3" t="s" s="124">
        <v>163</v>
      </c>
      <c r="C3" s="13"/>
      <c r="D3" s="13"/>
      <c r="E3" s="15"/>
    </row>
    <row r="4" ht="13.55" customHeight="1">
      <c r="A4" s="11"/>
      <c r="B4" s="20"/>
      <c r="C4" s="20"/>
      <c r="D4" s="20"/>
      <c r="E4" s="15"/>
    </row>
    <row r="5" ht="19.5" customHeight="1">
      <c r="A5" s="23"/>
      <c r="B5" t="s" s="24">
        <v>11</v>
      </c>
      <c r="C5" t="s" s="24">
        <v>164</v>
      </c>
      <c r="D5" t="s" s="24">
        <v>165</v>
      </c>
      <c r="E5" s="58"/>
    </row>
    <row r="6" ht="27.75" customHeight="1">
      <c r="A6" s="23"/>
      <c r="B6" t="s" s="125">
        <v>166</v>
      </c>
      <c r="C6" t="s" s="126">
        <v>167</v>
      </c>
      <c r="D6" t="s" s="125">
        <v>168</v>
      </c>
      <c r="E6" s="58"/>
    </row>
    <row r="7" ht="27.75" customHeight="1">
      <c r="A7" s="23"/>
      <c r="B7" t="s" s="125">
        <v>169</v>
      </c>
      <c r="C7" t="s" s="126">
        <v>170</v>
      </c>
      <c r="D7" t="s" s="125">
        <v>171</v>
      </c>
      <c r="E7" s="58"/>
    </row>
    <row r="8" ht="27.75" customHeight="1">
      <c r="A8" s="23"/>
      <c r="B8" t="s" s="125">
        <v>172</v>
      </c>
      <c r="C8" t="s" s="126">
        <v>173</v>
      </c>
      <c r="D8" t="s" s="125">
        <v>174</v>
      </c>
      <c r="E8" s="58"/>
    </row>
    <row r="9" ht="27.75" customHeight="1">
      <c r="A9" s="23"/>
      <c r="B9" t="s" s="125">
        <v>175</v>
      </c>
      <c r="C9" t="s" s="126">
        <v>176</v>
      </c>
      <c r="D9" t="s" s="125">
        <v>177</v>
      </c>
      <c r="E9" s="58"/>
    </row>
    <row r="10" ht="27.75" customHeight="1">
      <c r="A10" s="23"/>
      <c r="B10" t="s" s="125">
        <v>178</v>
      </c>
      <c r="C10" t="s" s="126">
        <v>179</v>
      </c>
      <c r="D10" t="s" s="125">
        <v>180</v>
      </c>
      <c r="E10" s="58"/>
    </row>
    <row r="11" ht="27.75" customHeight="1">
      <c r="A11" s="23"/>
      <c r="B11" t="s" s="125">
        <v>181</v>
      </c>
      <c r="C11" t="s" s="126">
        <v>182</v>
      </c>
      <c r="D11" t="s" s="125">
        <v>183</v>
      </c>
      <c r="E11" s="58"/>
    </row>
    <row r="12" ht="27.75" customHeight="1">
      <c r="A12" s="23"/>
      <c r="B12" t="s" s="125">
        <v>184</v>
      </c>
      <c r="C12" t="s" s="126">
        <v>185</v>
      </c>
      <c r="D12" t="s" s="125">
        <v>186</v>
      </c>
      <c r="E12" s="58"/>
    </row>
    <row r="13" ht="27.75" customHeight="1">
      <c r="A13" s="23"/>
      <c r="B13" t="s" s="125">
        <v>187</v>
      </c>
      <c r="C13" t="s" s="126">
        <v>188</v>
      </c>
      <c r="D13" t="s" s="125">
        <v>189</v>
      </c>
      <c r="E13" s="58"/>
    </row>
    <row r="14" ht="27.75" customHeight="1">
      <c r="A14" s="23"/>
      <c r="B14" t="s" s="125">
        <v>190</v>
      </c>
      <c r="C14" t="s" s="126">
        <v>191</v>
      </c>
      <c r="D14" t="s" s="125">
        <v>192</v>
      </c>
      <c r="E14" s="58"/>
    </row>
    <row r="15" ht="27.75" customHeight="1">
      <c r="A15" s="23"/>
      <c r="B15" t="s" s="125">
        <v>193</v>
      </c>
      <c r="C15" t="s" s="126">
        <v>194</v>
      </c>
      <c r="D15" t="s" s="125">
        <v>195</v>
      </c>
      <c r="E15" s="58"/>
    </row>
    <row r="16" ht="27.75" customHeight="1">
      <c r="A16" s="28"/>
      <c r="B16" t="s" s="125">
        <v>196</v>
      </c>
      <c r="C16" t="s" s="126">
        <v>197</v>
      </c>
      <c r="D16" t="s" s="125">
        <v>198</v>
      </c>
      <c r="E16" s="63"/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