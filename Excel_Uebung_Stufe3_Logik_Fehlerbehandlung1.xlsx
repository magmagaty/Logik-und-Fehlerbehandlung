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Export-Zusammenfassung" sheetId="1" r:id="rId5"/>
    <sheet name="1_WENN" sheetId="2" r:id="rId6"/>
    <sheet name="2_Verschachtelte_WENN" sheetId="3" r:id="rId7"/>
    <sheet name="3_WENNS" sheetId="4" r:id="rId8"/>
    <sheet name="4_UND_ODER_NICHT" sheetId="5" r:id="rId9"/>
    <sheet name="5_WENNFEHLER_WENNNV" sheetId="6" r:id="rId10"/>
  </sheets>
</workbook>
</file>

<file path=xl/metadata.xml><?xml version="1.0" encoding="utf-8"?>
<metadata xmlns:xda="http://schemas.microsoft.com/office/spreadsheetml/2017/dynamicarray"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<sst xmlns="http://schemas.openxmlformats.org/spreadsheetml/2006/main" uniqueCount="129">
  <si>
    <t>Dieses Dokument wurde aus Numbers exportiert und jede Tabelle in ein Excel-Arbeitsblatt umgewandelt. Alle anderen Objekte der einzelnen Numbers-Blätter wurden auf eigene Arbeitsblätter übertragen. Beachte, dass die Formelberechnungen in Excel möglicherweise anders sind.</t>
  </si>
  <si>
    <t>Name des Numbers-Blatts</t>
  </si>
  <si>
    <t>Numbers-Tabellenname</t>
  </si>
  <si>
    <t>Name des Excel-Arbeitsblatts</t>
  </si>
  <si>
    <t>1_WENN</t>
  </si>
  <si>
    <t>Tabelle 1</t>
  </si>
  <si>
    <t>Blatt 1: WENN</t>
  </si>
  <si>
    <t>Aufgabe: Schreibe in Spalte D eine WENN-Formel. Wenn die Bearbeitungsdauer mehr als 180 Minuten beträgt, soll 'SLA verletzt' erscheinen, sonst 'SLA eingehalten'.</t>
  </si>
  <si>
    <t>Vorgangsnummer</t>
  </si>
  <si>
    <t>Bearbeitungsdauer (Min)</t>
  </si>
  <si>
    <t>Status (SLA)</t>
  </si>
  <si>
    <t>V001</t>
  </si>
  <si>
    <t>SLA eingehalten</t>
  </si>
  <si>
    <t>V002</t>
  </si>
  <si>
    <t>SLA verletzt</t>
  </si>
  <si>
    <t>V003</t>
  </si>
  <si>
    <t>V004</t>
  </si>
  <si>
    <t>V005</t>
  </si>
  <si>
    <t>V006</t>
  </si>
  <si>
    <t>V007</t>
  </si>
  <si>
    <t>V008</t>
  </si>
  <si>
    <t>V009</t>
  </si>
  <si>
    <t>V010</t>
  </si>
  <si>
    <t>V011</t>
  </si>
  <si>
    <t>V012</t>
  </si>
  <si>
    <t>V013</t>
  </si>
  <si>
    <t>2_Verschachtelte_WENN</t>
  </si>
  <si>
    <t>Blatt 2: Verschachtelte WENN</t>
  </si>
  <si>
    <t>Aufgabe: Klassifiziere die Priorität in Spalte D mit einer verschachtelten WENN-Formel: &gt; 480 Min = 'Hoch', &gt; 240 Min = 'Mittel', sonst 'Niedrig'.</t>
  </si>
  <si>
    <t>Priorität</t>
  </si>
  <si>
    <t>Hoch</t>
  </si>
  <si>
    <t>Mittel</t>
  </si>
  <si>
    <t>Niedrig</t>
  </si>
  <si>
    <t>3_WENNS</t>
  </si>
  <si>
    <t>Blatt 3: WENNS</t>
  </si>
  <si>
    <t>Aufgabe: Löse dieselbe Klassifizierung wie in Blatt 2 (Hoch / Mittel / Niedrig), aber dieses Mal mit der WENNS-Funktion statt einer verschachtelten WENN.</t>
  </si>
  <si>
    <t>V101</t>
  </si>
  <si>
    <t>V102</t>
  </si>
  <si>
    <t>V103</t>
  </si>
  <si>
    <t>V104</t>
  </si>
  <si>
    <t>V105</t>
  </si>
  <si>
    <t>V106</t>
  </si>
  <si>
    <t>V107</t>
  </si>
  <si>
    <t>V108</t>
  </si>
  <si>
    <t>V109</t>
  </si>
  <si>
    <t>V110</t>
  </si>
  <si>
    <t>4_UND_ODER_NICHT</t>
  </si>
  <si>
    <t>Blatt 4: UND / ODER / NICHT</t>
  </si>
  <si>
    <t>Aufgabe 1 (Spalte F, UND): 'Kritisch', wenn Bearbeitungsdauer &gt; 240 UND Abteilung = 'Reklamation', sonst 'Normal'.  Aufgabe 2 (Spalte G, ODER): 'Sonderfall', wenn Abteilung = 'Reklamation' ODER 'Eskalation', sonst 'Standardfall'.  Aufgabe 3 (Spalte H, NICHT): 'Erfasst', wenn die Bemerkung NICHT leer ist, sonst 'Fehlt'.</t>
  </si>
  <si>
    <t>Abteilung</t>
  </si>
  <si>
    <t>Bemerkung</t>
  </si>
  <si>
    <t>Kritisch? (UND)</t>
  </si>
  <si>
    <t>Sonderfall? (ODER)</t>
  </si>
  <si>
    <t>Bemerkung erfasst? (NICHT)</t>
  </si>
  <si>
    <t>V201</t>
  </si>
  <si>
    <t>Reklamation</t>
  </si>
  <si>
    <t>Kunde wartet auf Rückruf</t>
  </si>
  <si>
    <t>KRITISCH</t>
  </si>
  <si>
    <t>Sonderfall</t>
  </si>
  <si>
    <t>Erfasst</t>
  </si>
  <si>
    <t>V202</t>
  </si>
  <si>
    <t>Standard</t>
  </si>
  <si>
    <t>NORMAL</t>
  </si>
  <si>
    <t>Standardfall</t>
  </si>
  <si>
    <t>Fehlt</t>
  </si>
  <si>
    <t>V203</t>
  </si>
  <si>
    <t>Eskalation</t>
  </si>
  <si>
    <t>Eskalation an Teamleiter gemeldet</t>
  </si>
  <si>
    <t>V204</t>
  </si>
  <si>
    <t>V205</t>
  </si>
  <si>
    <t>V206</t>
  </si>
  <si>
    <t>Versand</t>
  </si>
  <si>
    <t>Paket beschädigt</t>
  </si>
  <si>
    <t>V207</t>
  </si>
  <si>
    <t>V208</t>
  </si>
  <si>
    <t>Erledigt ohne Probleme</t>
  </si>
  <si>
    <t>V209</t>
  </si>
  <si>
    <t>Rückerstattung veranlasst</t>
  </si>
  <si>
    <t>V210</t>
  </si>
  <si>
    <t>5_WENNFEHLER_WENNNV</t>
  </si>
  <si>
    <t>Blatt 5: WENNFEHLER / WENNNV</t>
  </si>
  <si>
    <t>Kostenstellen-Tabelle</t>
  </si>
  <si>
    <t>Kostenstellen-ID</t>
  </si>
  <si>
    <t>Kostenstellenname</t>
  </si>
  <si>
    <t>K001</t>
  </si>
  <si>
    <t>Einkauf</t>
  </si>
  <si>
    <t>K002</t>
  </si>
  <si>
    <t>Vertrieb</t>
  </si>
  <si>
    <t>K003</t>
  </si>
  <si>
    <t>Logistik</t>
  </si>
  <si>
    <t>K004</t>
  </si>
  <si>
    <t>IT</t>
  </si>
  <si>
    <t>K005</t>
  </si>
  <si>
    <t>Finanzen</t>
  </si>
  <si>
    <t>Aufgabe A: Schreibe in Spalte D einen einfachen SVERWEIS auf die Kostenstellen-Tabelle oben.</t>
  </si>
  <si>
    <t>SVERWEIS (ungesichert)</t>
  </si>
  <si>
    <t>Mit WENNFEHLER</t>
  </si>
  <si>
    <t>V301</t>
  </si>
  <si>
    <r>
      <rPr>
        <sz val="15"/>
        <color indexed="8"/>
        <rFont val="Arial"/>
      </rPr>
      <t>K002</t>
    </r>
  </si>
  <si>
    <t>V302</t>
  </si>
  <si>
    <r>
      <rPr>
        <sz val="15"/>
        <color indexed="8"/>
        <rFont val="Arial"/>
      </rPr>
      <t>K005</t>
    </r>
  </si>
  <si>
    <t>V303</t>
  </si>
  <si>
    <t>K099</t>
  </si>
  <si>
    <r>
      <rPr>
        <sz val="15"/>
        <color indexed="8"/>
        <rFont val="Arial"/>
      </rPr>
      <t>K099</t>
    </r>
  </si>
  <si>
    <t>V304</t>
  </si>
  <si>
    <r>
      <rPr>
        <sz val="15"/>
        <color indexed="8"/>
        <rFont val="Arial"/>
      </rPr>
      <t>K001</t>
    </r>
  </si>
  <si>
    <t>V305</t>
  </si>
  <si>
    <t>K100</t>
  </si>
  <si>
    <r>
      <rPr>
        <sz val="15"/>
        <color indexed="8"/>
        <rFont val="Arial"/>
      </rPr>
      <t>K100</t>
    </r>
  </si>
  <si>
    <t>V306</t>
  </si>
  <si>
    <r>
      <rPr>
        <sz val="15"/>
        <color indexed="8"/>
        <rFont val="Arial"/>
      </rPr>
      <t>K003</t>
    </r>
  </si>
  <si>
    <t>V307</t>
  </si>
  <si>
    <r>
      <rPr>
        <sz val="15"/>
        <color indexed="8"/>
        <rFont val="Arial"/>
      </rPr>
      <t>K004</t>
    </r>
  </si>
  <si>
    <t>V308</t>
  </si>
  <si>
    <t>K200</t>
  </si>
  <si>
    <r>
      <rPr>
        <sz val="15"/>
        <color indexed="8"/>
        <rFont val="Arial"/>
      </rPr>
      <t>K200</t>
    </r>
  </si>
  <si>
    <t>V309</t>
  </si>
  <si>
    <t>Nicht gefunden</t>
  </si>
  <si>
    <t>V310</t>
  </si>
  <si>
    <t>K125</t>
  </si>
  <si>
    <r>
      <rPr>
        <sz val="15"/>
        <color indexed="8"/>
        <rFont val="Arial"/>
      </rPr>
      <t>K125</t>
    </r>
  </si>
  <si>
    <t>Aufgabe B: Sichere in Spalte E die Division (Gesamtkosten / Anzahl Vorgänge) mit WENNFEHLER ab</t>
  </si>
  <si>
    <t>Gesamtkosten (€)</t>
  </si>
  <si>
    <t>Anzahl Vorgänge</t>
  </si>
  <si>
    <t>Kosten/Vorgang mit WENNFEHLER</t>
  </si>
  <si>
    <t>V401</t>
  </si>
  <si>
    <t>V402</t>
  </si>
  <si>
    <t>Nicht berechenbar</t>
  </si>
  <si>
    <t>V403</t>
  </si>
</sst>
</file>

<file path=xl/styles.xml><?xml version="1.0" encoding="utf-8"?>
<styleSheet xmlns="http://schemas.openxmlformats.org/spreadsheetml/2006/main">
  <numFmts count="1">
    <numFmt numFmtId="0" formatCode="General"/>
  </numFmts>
  <fonts count="22">
    <font>
      <sz val="11"/>
      <color indexed="8"/>
      <name val="Calibri"/>
    </font>
    <font>
      <sz val="12"/>
      <color indexed="8"/>
      <name val="Calibri"/>
    </font>
    <font>
      <sz val="14"/>
      <color indexed="8"/>
      <name val="Calibri"/>
    </font>
    <font>
      <sz val="12"/>
      <color indexed="8"/>
      <name val="Helvetica Neue"/>
    </font>
    <font>
      <u val="single"/>
      <sz val="12"/>
      <color indexed="11"/>
      <name val="Calibri"/>
    </font>
    <font>
      <sz val="15"/>
      <color indexed="8"/>
      <name val="Calibri"/>
    </font>
    <font>
      <sz val="14"/>
      <color indexed="14"/>
      <name val="Calibri"/>
    </font>
    <font>
      <sz val="14"/>
      <color indexed="15"/>
      <name val="Calibri"/>
    </font>
    <font>
      <sz val="10"/>
      <color indexed="15"/>
      <name val="Calibri"/>
    </font>
    <font>
      <sz val="14"/>
      <color indexed="12"/>
      <name val="Calibri"/>
    </font>
    <font>
      <sz val="15"/>
      <color indexed="8"/>
      <name val="Calibri"/>
    </font>
    <font>
      <sz val="15"/>
      <color indexed="14"/>
      <name val="Calibri"/>
    </font>
    <font>
      <sz val="15"/>
      <color indexed="15"/>
      <name val="Calibri"/>
    </font>
    <font>
      <sz val="15"/>
      <color indexed="12"/>
      <name val="Calibri"/>
    </font>
    <font>
      <sz val="15"/>
      <color indexed="8"/>
      <name val="Arial"/>
    </font>
    <font>
      <sz val="15"/>
      <color indexed="14"/>
      <name val="Arial"/>
    </font>
    <font>
      <sz val="15"/>
      <color indexed="15"/>
      <name val="Arial"/>
    </font>
    <font>
      <sz val="15"/>
      <color indexed="12"/>
      <name val="Arial"/>
    </font>
    <font>
      <sz val="16"/>
      <color indexed="14"/>
      <name val="Arial"/>
    </font>
    <font>
      <sz val="16"/>
      <color indexed="8"/>
      <name val="Arial"/>
    </font>
    <font>
      <sz val="16"/>
      <color indexed="15"/>
      <name val="Arial"/>
    </font>
    <font>
      <sz val="16"/>
      <color indexed="12"/>
      <name val="Arial"/>
    </font>
  </fonts>
  <fills count="8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0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8"/>
        <bgColor auto="1"/>
      </patternFill>
    </fill>
  </fills>
  <borders count="26">
    <border>
      <left/>
      <right/>
      <top/>
      <bottom/>
      <diagonal/>
    </border>
    <border>
      <left style="thin">
        <color indexed="13"/>
      </left>
      <right/>
      <top style="thin">
        <color indexed="13"/>
      </top>
      <bottom/>
      <diagonal/>
    </border>
    <border>
      <left/>
      <right/>
      <top style="thin">
        <color indexed="13"/>
      </top>
      <bottom/>
      <diagonal/>
    </border>
    <border>
      <left/>
      <right style="thin">
        <color indexed="13"/>
      </right>
      <top style="thin">
        <color indexed="13"/>
      </top>
      <bottom/>
      <diagonal/>
    </border>
    <border>
      <left style="thin">
        <color indexed="13"/>
      </left>
      <right/>
      <top/>
      <bottom/>
      <diagonal/>
    </border>
    <border>
      <left/>
      <right/>
      <top/>
      <bottom/>
      <diagonal/>
    </border>
    <border>
      <left/>
      <right style="thin">
        <color indexed="13"/>
      </right>
      <top/>
      <bottom/>
      <diagonal/>
    </border>
    <border>
      <left/>
      <right/>
      <top/>
      <bottom style="thin">
        <color indexed="17"/>
      </bottom>
      <diagonal/>
    </border>
    <border>
      <left style="thin">
        <color indexed="13"/>
      </left>
      <right style="thin">
        <color indexed="17"/>
      </right>
      <top/>
      <bottom/>
      <diagonal/>
    </border>
    <border>
      <left style="thin">
        <color indexed="17"/>
      </left>
      <right style="thin">
        <color indexed="17"/>
      </right>
      <top style="thin">
        <color indexed="17"/>
      </top>
      <bottom style="thin">
        <color indexed="17"/>
      </bottom>
      <diagonal/>
    </border>
    <border>
      <left style="thin">
        <color indexed="17"/>
      </left>
      <right/>
      <top/>
      <bottom/>
      <diagonal/>
    </border>
    <border>
      <left style="thin">
        <color indexed="13"/>
      </left>
      <right style="thin">
        <color indexed="17"/>
      </right>
      <top/>
      <bottom style="thin">
        <color indexed="13"/>
      </bottom>
      <diagonal/>
    </border>
    <border>
      <left style="thin">
        <color indexed="17"/>
      </left>
      <right/>
      <top/>
      <bottom style="thin">
        <color indexed="13"/>
      </bottom>
      <diagonal/>
    </border>
    <border>
      <left/>
      <right/>
      <top/>
      <bottom style="thin">
        <color indexed="13"/>
      </bottom>
      <diagonal/>
    </border>
    <border>
      <left/>
      <right style="thin">
        <color indexed="13"/>
      </right>
      <top/>
      <bottom style="thin">
        <color indexed="13"/>
      </bottom>
      <diagonal/>
    </border>
    <border>
      <left style="thin">
        <color indexed="17"/>
      </left>
      <right style="thin">
        <color indexed="13"/>
      </right>
      <top/>
      <bottom/>
      <diagonal/>
    </border>
    <border>
      <left style="thin">
        <color indexed="17"/>
      </left>
      <right style="thin">
        <color indexed="13"/>
      </right>
      <top/>
      <bottom style="thin">
        <color indexed="13"/>
      </bottom>
      <diagonal/>
    </border>
    <border>
      <left/>
      <right style="thin">
        <color indexed="13"/>
      </right>
      <top/>
      <bottom style="thin">
        <color indexed="17"/>
      </bottom>
      <diagonal/>
    </border>
    <border>
      <left/>
      <right/>
      <top style="thin">
        <color indexed="17"/>
      </top>
      <bottom/>
      <diagonal/>
    </border>
    <border>
      <left/>
      <right style="thin">
        <color indexed="17"/>
      </right>
      <top/>
      <bottom style="thin">
        <color indexed="17"/>
      </bottom>
      <diagonal/>
    </border>
    <border>
      <left style="thin">
        <color indexed="17"/>
      </left>
      <right style="thin">
        <color indexed="17"/>
      </right>
      <top/>
      <bottom style="thin">
        <color indexed="17"/>
      </bottom>
      <diagonal/>
    </border>
    <border>
      <left style="thin">
        <color indexed="17"/>
      </left>
      <right/>
      <top/>
      <bottom style="thin">
        <color indexed="17"/>
      </bottom>
      <diagonal/>
    </border>
    <border>
      <left/>
      <right style="thin">
        <color indexed="17"/>
      </right>
      <top style="thin">
        <color indexed="17"/>
      </top>
      <bottom style="thin">
        <color indexed="17"/>
      </bottom>
      <diagonal/>
    </border>
    <border>
      <left style="thin">
        <color indexed="17"/>
      </left>
      <right/>
      <top style="thin">
        <color indexed="17"/>
      </top>
      <bottom style="thin">
        <color indexed="17"/>
      </bottom>
      <diagonal/>
    </border>
    <border>
      <left style="thin">
        <color indexed="17"/>
      </left>
      <right/>
      <top style="thin">
        <color indexed="17"/>
      </top>
      <bottom/>
      <diagonal/>
    </border>
    <border>
      <left/>
      <right style="thin">
        <color indexed="17"/>
      </right>
      <top style="thin">
        <color indexed="17"/>
      </top>
      <bottom/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10">
    <xf numFmtId="0" fontId="0" applyNumberFormat="0" applyFont="1" applyFill="0" applyBorder="0" applyAlignment="1" applyProtection="0">
      <alignment vertical="bottom"/>
    </xf>
    <xf numFmtId="0" fontId="1" applyNumberFormat="0" applyFont="1" applyFill="0" applyBorder="0" applyAlignment="1" applyProtection="0">
      <alignment horizontal="left" vertical="bottom" wrapText="1"/>
    </xf>
    <xf numFmtId="0" fontId="2" applyNumberFormat="0" applyFont="1" applyFill="0" applyBorder="0" applyAlignment="1" applyProtection="0">
      <alignment horizontal="left" vertical="bottom"/>
    </xf>
    <xf numFmtId="0" fontId="1" fillId="2" applyNumberFormat="0" applyFont="1" applyFill="1" applyBorder="0" applyAlignment="1" applyProtection="0">
      <alignment horizontal="left" vertical="bottom"/>
    </xf>
    <xf numFmtId="0" fontId="1" fillId="3" applyNumberFormat="0" applyFont="1" applyFill="1" applyBorder="0" applyAlignment="1" applyProtection="0">
      <alignment horizontal="left" vertical="bottom"/>
    </xf>
    <xf numFmtId="0" fontId="4" fillId="3" applyNumberFormat="0" applyFont="1" applyFill="1" applyBorder="0" applyAlignment="1" applyProtection="0">
      <alignment horizontal="left" vertical="bottom"/>
    </xf>
    <xf numFmtId="0" fontId="0" applyNumberFormat="1" applyFont="1" applyFill="0" applyBorder="0" applyAlignment="1" applyProtection="0">
      <alignment vertical="bottom"/>
    </xf>
    <xf numFmtId="0" fontId="2" fillId="4" borderId="1" applyNumberFormat="0" applyFont="1" applyFill="1" applyBorder="1" applyAlignment="1" applyProtection="0">
      <alignment vertical="bottom"/>
    </xf>
    <xf numFmtId="0" fontId="2" fillId="4" borderId="2" applyNumberFormat="0" applyFont="1" applyFill="1" applyBorder="1" applyAlignment="1" applyProtection="0">
      <alignment vertical="bottom"/>
    </xf>
    <xf numFmtId="0" fontId="0" borderId="2" applyNumberFormat="0" applyFont="1" applyFill="0" applyBorder="1" applyAlignment="1" applyProtection="0">
      <alignment vertical="bottom"/>
    </xf>
    <xf numFmtId="0" fontId="0" borderId="3" applyNumberFormat="0" applyFont="1" applyFill="0" applyBorder="1" applyAlignment="1" applyProtection="0">
      <alignment vertical="bottom"/>
    </xf>
    <xf numFmtId="0" fontId="2" fillId="4" borderId="4" applyNumberFormat="0" applyFont="1" applyFill="1" applyBorder="1" applyAlignment="1" applyProtection="0">
      <alignment vertical="bottom"/>
    </xf>
    <xf numFmtId="49" fontId="6" fillId="4" borderId="5" applyNumberFormat="1" applyFont="1" applyFill="1" applyBorder="1" applyAlignment="1" applyProtection="0">
      <alignment vertical="bottom"/>
    </xf>
    <xf numFmtId="0" fontId="2" fillId="4" borderId="5" applyNumberFormat="0" applyFont="1" applyFill="1" applyBorder="1" applyAlignment="1" applyProtection="0">
      <alignment vertical="bottom"/>
    </xf>
    <xf numFmtId="0" fontId="0" borderId="5" applyNumberFormat="0" applyFont="1" applyFill="0" applyBorder="1" applyAlignment="1" applyProtection="0">
      <alignment vertical="bottom"/>
    </xf>
    <xf numFmtId="0" fontId="0" borderId="6" applyNumberFormat="0" applyFont="1" applyFill="0" applyBorder="1" applyAlignment="1" applyProtection="0">
      <alignment vertical="bottom"/>
    </xf>
    <xf numFmtId="49" fontId="7" fillId="5" borderId="5" applyNumberFormat="1" applyFont="1" applyFill="1" applyBorder="1" applyAlignment="1" applyProtection="0">
      <alignment horizontal="left" vertical="center" wrapText="1"/>
    </xf>
    <xf numFmtId="1" fontId="8" fillId="5" borderId="5" applyNumberFormat="1" applyFont="1" applyFill="1" applyBorder="1" applyAlignment="1" applyProtection="0">
      <alignment horizontal="left" vertical="center" wrapText="1"/>
    </xf>
    <xf numFmtId="0" fontId="2" fillId="4" borderId="7" applyNumberFormat="0" applyFont="1" applyFill="1" applyBorder="1" applyAlignment="1" applyProtection="0">
      <alignment vertical="bottom"/>
    </xf>
    <xf numFmtId="0" fontId="2" fillId="4" borderId="8" applyNumberFormat="0" applyFont="1" applyFill="1" applyBorder="1" applyAlignment="1" applyProtection="0">
      <alignment vertical="bottom"/>
    </xf>
    <xf numFmtId="49" fontId="9" fillId="6" borderId="9" applyNumberFormat="1" applyFont="1" applyFill="1" applyBorder="1" applyAlignment="1" applyProtection="0">
      <alignment horizontal="center" vertical="center" wrapText="1"/>
    </xf>
    <xf numFmtId="0" fontId="0" borderId="10" applyNumberFormat="0" applyFont="1" applyFill="0" applyBorder="1" applyAlignment="1" applyProtection="0">
      <alignment vertical="bottom"/>
    </xf>
    <xf numFmtId="49" fontId="2" fillId="4" borderId="9" applyNumberFormat="1" applyFont="1" applyFill="1" applyBorder="1" applyAlignment="1" applyProtection="0">
      <alignment horizontal="center" vertical="center"/>
    </xf>
    <xf numFmtId="1" fontId="2" fillId="4" borderId="9" applyNumberFormat="1" applyFont="1" applyFill="1" applyBorder="1" applyAlignment="1" applyProtection="0">
      <alignment horizontal="center" vertical="center"/>
    </xf>
    <xf numFmtId="0" fontId="2" fillId="7" borderId="9" applyNumberFormat="0" applyFont="1" applyFill="1" applyBorder="1" applyAlignment="1" applyProtection="0">
      <alignment horizontal="center" vertical="center"/>
    </xf>
    <xf numFmtId="0" fontId="2" fillId="4" borderId="11" applyNumberFormat="0" applyFont="1" applyFill="1" applyBorder="1" applyAlignment="1" applyProtection="0">
      <alignment vertical="bottom"/>
    </xf>
    <xf numFmtId="0" fontId="0" borderId="12" applyNumberFormat="0" applyFont="1" applyFill="0" applyBorder="1" applyAlignment="1" applyProtection="0">
      <alignment vertical="bottom"/>
    </xf>
    <xf numFmtId="0" fontId="0" borderId="13" applyNumberFormat="0" applyFont="1" applyFill="0" applyBorder="1" applyAlignment="1" applyProtection="0">
      <alignment vertical="bottom"/>
    </xf>
    <xf numFmtId="0" fontId="0" borderId="14" applyNumberFormat="0" applyFont="1" applyFill="0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10" fillId="4" borderId="1" applyNumberFormat="0" applyFont="1" applyFill="1" applyBorder="1" applyAlignment="1" applyProtection="0">
      <alignment vertical="bottom"/>
    </xf>
    <xf numFmtId="0" fontId="10" fillId="4" borderId="2" applyNumberFormat="0" applyFont="1" applyFill="1" applyBorder="1" applyAlignment="1" applyProtection="0">
      <alignment vertical="bottom"/>
    </xf>
    <xf numFmtId="0" fontId="10" fillId="4" borderId="4" applyNumberFormat="0" applyFont="1" applyFill="1" applyBorder="1" applyAlignment="1" applyProtection="0">
      <alignment vertical="bottom"/>
    </xf>
    <xf numFmtId="49" fontId="11" fillId="4" borderId="5" applyNumberFormat="1" applyFont="1" applyFill="1" applyBorder="1" applyAlignment="1" applyProtection="0">
      <alignment vertical="bottom"/>
    </xf>
    <xf numFmtId="0" fontId="10" fillId="4" borderId="5" applyNumberFormat="0" applyFont="1" applyFill="1" applyBorder="1" applyAlignment="1" applyProtection="0">
      <alignment vertical="bottom"/>
    </xf>
    <xf numFmtId="49" fontId="12" fillId="5" borderId="5" applyNumberFormat="1" applyFont="1" applyFill="1" applyBorder="1" applyAlignment="1" applyProtection="0">
      <alignment horizontal="left" vertical="center" wrapText="1"/>
    </xf>
    <xf numFmtId="0" fontId="10" fillId="4" borderId="7" applyNumberFormat="0" applyFont="1" applyFill="1" applyBorder="1" applyAlignment="1" applyProtection="0">
      <alignment vertical="bottom"/>
    </xf>
    <xf numFmtId="0" fontId="10" fillId="4" borderId="8" applyNumberFormat="0" applyFont="1" applyFill="1" applyBorder="1" applyAlignment="1" applyProtection="0">
      <alignment vertical="bottom"/>
    </xf>
    <xf numFmtId="49" fontId="13" fillId="6" borderId="9" applyNumberFormat="1" applyFont="1" applyFill="1" applyBorder="1" applyAlignment="1" applyProtection="0">
      <alignment horizontal="center" vertical="center" wrapText="1"/>
    </xf>
    <xf numFmtId="0" fontId="0" borderId="15" applyNumberFormat="0" applyFont="1" applyFill="0" applyBorder="1" applyAlignment="1" applyProtection="0">
      <alignment vertical="bottom"/>
    </xf>
    <xf numFmtId="49" fontId="10" fillId="4" borderId="9" applyNumberFormat="1" applyFont="1" applyFill="1" applyBorder="1" applyAlignment="1" applyProtection="0">
      <alignment horizontal="center" vertical="center"/>
    </xf>
    <xf numFmtId="1" fontId="10" fillId="4" borderId="9" applyNumberFormat="1" applyFont="1" applyFill="1" applyBorder="1" applyAlignment="1" applyProtection="0">
      <alignment horizontal="center" vertical="center"/>
    </xf>
    <xf numFmtId="0" fontId="10" fillId="7" borderId="9" applyNumberFormat="0" applyFont="1" applyFill="1" applyBorder="1" applyAlignment="1" applyProtection="0">
      <alignment horizontal="center" vertical="center"/>
    </xf>
    <xf numFmtId="0" fontId="10" fillId="4" borderId="11" applyNumberFormat="0" applyFont="1" applyFill="1" applyBorder="1" applyAlignment="1" applyProtection="0">
      <alignment vertical="bottom"/>
    </xf>
    <xf numFmtId="0" fontId="0" borderId="16" applyNumberFormat="0" applyFont="1" applyFill="0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14" fillId="4" borderId="1" applyNumberFormat="0" applyFont="1" applyFill="1" applyBorder="1" applyAlignment="1" applyProtection="0">
      <alignment vertical="bottom"/>
    </xf>
    <xf numFmtId="0" fontId="14" fillId="4" borderId="2" applyNumberFormat="0" applyFont="1" applyFill="1" applyBorder="1" applyAlignment="1" applyProtection="0">
      <alignment vertical="bottom"/>
    </xf>
    <xf numFmtId="0" fontId="14" borderId="3" applyNumberFormat="0" applyFont="1" applyFill="0" applyBorder="1" applyAlignment="1" applyProtection="0">
      <alignment vertical="bottom"/>
    </xf>
    <xf numFmtId="0" fontId="14" fillId="4" borderId="4" applyNumberFormat="0" applyFont="1" applyFill="1" applyBorder="1" applyAlignment="1" applyProtection="0">
      <alignment vertical="bottom"/>
    </xf>
    <xf numFmtId="49" fontId="15" fillId="4" borderId="5" applyNumberFormat="1" applyFont="1" applyFill="1" applyBorder="1" applyAlignment="1" applyProtection="0">
      <alignment vertical="bottom"/>
    </xf>
    <xf numFmtId="0" fontId="14" fillId="4" borderId="5" applyNumberFormat="0" applyFont="1" applyFill="1" applyBorder="1" applyAlignment="1" applyProtection="0">
      <alignment vertical="bottom"/>
    </xf>
    <xf numFmtId="0" fontId="14" borderId="6" applyNumberFormat="0" applyFont="1" applyFill="0" applyBorder="1" applyAlignment="1" applyProtection="0">
      <alignment vertical="bottom"/>
    </xf>
    <xf numFmtId="49" fontId="16" fillId="5" borderId="5" applyNumberFormat="1" applyFont="1" applyFill="1" applyBorder="1" applyAlignment="1" applyProtection="0">
      <alignment horizontal="left" vertical="center" wrapText="1"/>
    </xf>
    <xf numFmtId="0" fontId="14" fillId="4" borderId="7" applyNumberFormat="0" applyFont="1" applyFill="1" applyBorder="1" applyAlignment="1" applyProtection="0">
      <alignment vertical="bottom"/>
    </xf>
    <xf numFmtId="0" fontId="14" fillId="4" borderId="8" applyNumberFormat="0" applyFont="1" applyFill="1" applyBorder="1" applyAlignment="1" applyProtection="0">
      <alignment vertical="bottom"/>
    </xf>
    <xf numFmtId="49" fontId="17" fillId="6" borderId="9" applyNumberFormat="1" applyFont="1" applyFill="1" applyBorder="1" applyAlignment="1" applyProtection="0">
      <alignment horizontal="center" vertical="center" wrapText="1"/>
    </xf>
    <xf numFmtId="0" fontId="14" borderId="15" applyNumberFormat="0" applyFont="1" applyFill="0" applyBorder="1" applyAlignment="1" applyProtection="0">
      <alignment vertical="bottom"/>
    </xf>
    <xf numFmtId="49" fontId="14" fillId="4" borderId="9" applyNumberFormat="1" applyFont="1" applyFill="1" applyBorder="1" applyAlignment="1" applyProtection="0">
      <alignment horizontal="center" vertical="center"/>
    </xf>
    <xf numFmtId="1" fontId="14" fillId="4" borderId="9" applyNumberFormat="1" applyFont="1" applyFill="1" applyBorder="1" applyAlignment="1" applyProtection="0">
      <alignment horizontal="center" vertical="center"/>
    </xf>
    <xf numFmtId="0" fontId="14" fillId="7" borderId="9" applyNumberFormat="0" applyFont="1" applyFill="1" applyBorder="1" applyAlignment="1" applyProtection="0">
      <alignment horizontal="center" vertical="center"/>
    </xf>
    <xf numFmtId="0" fontId="14" fillId="4" borderId="11" applyNumberFormat="0" applyFont="1" applyFill="1" applyBorder="1" applyAlignment="1" applyProtection="0">
      <alignment vertical="bottom"/>
    </xf>
    <xf numFmtId="0" fontId="14" borderId="16" applyNumberFormat="0" applyFont="1" applyFill="0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fillId="4" borderId="1" applyNumberFormat="0" applyFont="1" applyFill="1" applyBorder="1" applyAlignment="1" applyProtection="0">
      <alignment vertical="bottom"/>
    </xf>
    <xf numFmtId="0" fontId="0" fillId="4" borderId="2" applyNumberFormat="0" applyFont="1" applyFill="1" applyBorder="1" applyAlignment="1" applyProtection="0">
      <alignment vertical="bottom"/>
    </xf>
    <xf numFmtId="0" fontId="0" fillId="4" borderId="3" applyNumberFormat="0" applyFont="1" applyFill="1" applyBorder="1" applyAlignment="1" applyProtection="0">
      <alignment vertical="bottom"/>
    </xf>
    <xf numFmtId="0" fontId="0" fillId="4" borderId="4" applyNumberFormat="0" applyFont="1" applyFill="1" applyBorder="1" applyAlignment="1" applyProtection="0">
      <alignment vertical="bottom"/>
    </xf>
    <xf numFmtId="49" fontId="18" fillId="4" borderId="5" applyNumberFormat="1" applyFont="1" applyFill="1" applyBorder="1" applyAlignment="1" applyProtection="0">
      <alignment vertical="bottom"/>
    </xf>
    <xf numFmtId="0" fontId="19" fillId="4" borderId="5" applyNumberFormat="0" applyFont="1" applyFill="1" applyBorder="1" applyAlignment="1" applyProtection="0">
      <alignment vertical="bottom"/>
    </xf>
    <xf numFmtId="0" fontId="19" fillId="4" borderId="6" applyNumberFormat="0" applyFont="1" applyFill="1" applyBorder="1" applyAlignment="1" applyProtection="0">
      <alignment vertical="bottom"/>
    </xf>
    <xf numFmtId="49" fontId="20" fillId="5" borderId="5" applyNumberFormat="1" applyFont="1" applyFill="1" applyBorder="1" applyAlignment="1" applyProtection="0">
      <alignment horizontal="left" vertical="center" wrapText="1"/>
    </xf>
    <xf numFmtId="0" fontId="20" fillId="5" borderId="6" applyNumberFormat="0" applyFont="1" applyFill="1" applyBorder="1" applyAlignment="1" applyProtection="0">
      <alignment horizontal="left" vertical="center" wrapText="1"/>
    </xf>
    <xf numFmtId="0" fontId="19" fillId="4" borderId="7" applyNumberFormat="0" applyFont="1" applyFill="1" applyBorder="1" applyAlignment="1" applyProtection="0">
      <alignment vertical="bottom"/>
    </xf>
    <xf numFmtId="0" fontId="19" fillId="4" borderId="17" applyNumberFormat="0" applyFont="1" applyFill="1" applyBorder="1" applyAlignment="1" applyProtection="0">
      <alignment vertical="bottom"/>
    </xf>
    <xf numFmtId="0" fontId="0" fillId="4" borderId="8" applyNumberFormat="0" applyFont="1" applyFill="1" applyBorder="1" applyAlignment="1" applyProtection="0">
      <alignment vertical="bottom"/>
    </xf>
    <xf numFmtId="49" fontId="21" fillId="6" borderId="9" applyNumberFormat="1" applyFont="1" applyFill="1" applyBorder="1" applyAlignment="1" applyProtection="0">
      <alignment horizontal="center" vertical="center" wrapText="1"/>
    </xf>
    <xf numFmtId="0" fontId="21" fillId="6" borderId="9" applyNumberFormat="0" applyFont="1" applyFill="1" applyBorder="1" applyAlignment="1" applyProtection="0">
      <alignment horizontal="center" vertical="center" wrapText="1"/>
    </xf>
    <xf numFmtId="49" fontId="19" fillId="4" borderId="9" applyNumberFormat="1" applyFont="1" applyFill="1" applyBorder="1" applyAlignment="1" applyProtection="0">
      <alignment horizontal="center" vertical="center"/>
    </xf>
    <xf numFmtId="1" fontId="19" fillId="4" borderId="9" applyNumberFormat="1" applyFont="1" applyFill="1" applyBorder="1" applyAlignment="1" applyProtection="0">
      <alignment horizontal="center" vertical="center"/>
    </xf>
    <xf numFmtId="49" fontId="19" fillId="4" borderId="9" applyNumberFormat="1" applyFont="1" applyFill="1" applyBorder="1" applyAlignment="1" applyProtection="0">
      <alignment horizontal="left" vertical="center"/>
    </xf>
    <xf numFmtId="0" fontId="19" fillId="7" borderId="9" applyNumberFormat="0" applyFont="1" applyFill="1" applyBorder="1" applyAlignment="1" applyProtection="0">
      <alignment horizontal="center" vertical="center"/>
    </xf>
    <xf numFmtId="1" fontId="19" fillId="4" borderId="9" applyNumberFormat="1" applyFont="1" applyFill="1" applyBorder="1" applyAlignment="1" applyProtection="0">
      <alignment horizontal="left" vertical="center"/>
    </xf>
    <xf numFmtId="0" fontId="0" fillId="4" borderId="11" applyNumberFormat="0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14" fillId="4" borderId="6" applyNumberFormat="0" applyFont="1" applyFill="1" applyBorder="1" applyAlignment="1" applyProtection="0">
      <alignment vertical="bottom"/>
    </xf>
    <xf numFmtId="49" fontId="15" fillId="4" borderId="7" applyNumberFormat="1" applyFont="1" applyFill="1" applyBorder="1" applyAlignment="1" applyProtection="0">
      <alignment vertical="bottom"/>
    </xf>
    <xf numFmtId="0" fontId="14" fillId="4" borderId="10" applyNumberFormat="0" applyFont="1" applyFill="1" applyBorder="1" applyAlignment="1" applyProtection="0">
      <alignment vertical="bottom"/>
    </xf>
    <xf numFmtId="0" fontId="14" fillId="4" borderId="18" applyNumberFormat="0" applyFont="1" applyFill="1" applyBorder="1" applyAlignment="1" applyProtection="0">
      <alignment vertical="bottom"/>
    </xf>
    <xf numFmtId="0" fontId="0" fillId="4" borderId="5" applyNumberFormat="0" applyFont="1" applyFill="1" applyBorder="1" applyAlignment="1" applyProtection="0">
      <alignment vertical="bottom"/>
    </xf>
    <xf numFmtId="0" fontId="16" fillId="5" borderId="6" applyNumberFormat="0" applyFont="1" applyFill="1" applyBorder="1" applyAlignment="1" applyProtection="0">
      <alignment horizontal="left" vertical="center" wrapText="1"/>
    </xf>
    <xf numFmtId="49" fontId="17" fillId="6" borderId="19" applyNumberFormat="1" applyFont="1" applyFill="1" applyBorder="1" applyAlignment="1" applyProtection="0">
      <alignment horizontal="center" vertical="center" wrapText="1"/>
    </xf>
    <xf numFmtId="49" fontId="17" fillId="6" borderId="20" applyNumberFormat="1" applyFont="1" applyFill="1" applyBorder="1" applyAlignment="1" applyProtection="0">
      <alignment horizontal="center" vertical="center" wrapText="1"/>
    </xf>
    <xf numFmtId="0" fontId="17" fillId="6" borderId="21" applyNumberFormat="0" applyFont="1" applyFill="1" applyBorder="1" applyAlignment="1" applyProtection="0">
      <alignment horizontal="center" vertical="center" wrapText="1"/>
    </xf>
    <xf numFmtId="49" fontId="14" fillId="4" borderId="22" applyNumberFormat="1" applyFont="1" applyFill="1" applyBorder="1" applyAlignment="1" applyProtection="0">
      <alignment horizontal="center" vertical="center"/>
    </xf>
    <xf numFmtId="1" fontId="14" fillId="7" borderId="23" applyNumberFormat="1" applyFont="1" applyFill="1" applyBorder="1" applyAlignment="1" applyProtection="0">
      <alignment horizontal="center" vertical="center"/>
    </xf>
    <xf numFmtId="49" fontId="14" fillId="4" borderId="24" applyNumberFormat="1" applyFont="1" applyFill="1" applyBorder="1" applyAlignment="1" applyProtection="0">
      <alignment horizontal="center" vertical="bottom"/>
    </xf>
    <xf numFmtId="0" fontId="14" fillId="7" borderId="18" applyNumberFormat="0" applyFont="1" applyFill="1" applyBorder="1" applyAlignment="1" applyProtection="0">
      <alignment horizontal="center" vertical="center"/>
    </xf>
    <xf numFmtId="1" fontId="14" fillId="7" borderId="18" applyNumberFormat="1" applyFont="1" applyFill="1" applyBorder="1" applyAlignment="1" applyProtection="0">
      <alignment horizontal="center" vertical="center"/>
    </xf>
    <xf numFmtId="0" fontId="14" fillId="4" borderId="10" applyNumberFormat="0" applyFont="1" applyFill="1" applyBorder="1" applyAlignment="1" applyProtection="0">
      <alignment horizontal="center" vertical="bottom"/>
    </xf>
    <xf numFmtId="1" fontId="14" fillId="7" borderId="5" applyNumberFormat="1" applyFont="1" applyFill="1" applyBorder="1" applyAlignment="1" applyProtection="0">
      <alignment horizontal="center" vertical="center"/>
    </xf>
    <xf numFmtId="0" fontId="14" fillId="7" borderId="5" applyNumberFormat="0" applyFont="1" applyFill="1" applyBorder="1" applyAlignment="1" applyProtection="0">
      <alignment horizontal="center" vertical="center"/>
    </xf>
    <xf numFmtId="49" fontId="14" fillId="4" borderId="25" applyNumberFormat="1" applyFont="1" applyFill="1" applyBorder="1" applyAlignment="1" applyProtection="0">
      <alignment horizontal="center" vertical="center"/>
    </xf>
    <xf numFmtId="49" fontId="14" fillId="4" borderId="10" applyNumberFormat="1" applyFont="1" applyFill="1" applyBorder="1" applyAlignment="1" applyProtection="0">
      <alignment horizontal="center" vertical="bottom"/>
    </xf>
    <xf numFmtId="49" fontId="16" fillId="5" borderId="7" applyNumberFormat="1" applyFont="1" applyFill="1" applyBorder="1" applyAlignment="1" applyProtection="0">
      <alignment horizontal="left" vertical="center" wrapText="1"/>
    </xf>
    <xf numFmtId="1" fontId="8" fillId="5" borderId="7" applyNumberFormat="1" applyFont="1" applyFill="1" applyBorder="1" applyAlignment="1" applyProtection="0">
      <alignment horizontal="left" vertical="center" wrapText="1"/>
    </xf>
    <xf numFmtId="0" fontId="0" fillId="4" borderId="7" applyNumberFormat="0" applyFont="1" applyFill="1" applyBorder="1" applyAlignment="1" applyProtection="0">
      <alignment vertical="bottom"/>
    </xf>
    <xf numFmtId="0" fontId="16" fillId="5" borderId="17" applyNumberFormat="0" applyFont="1" applyFill="1" applyBorder="1" applyAlignment="1" applyProtection="0">
      <alignment horizontal="left" vertical="center" wrapText="1"/>
    </xf>
    <xf numFmtId="0" fontId="17" fillId="6" borderId="9" applyNumberFormat="0" applyFont="1" applyFill="1" applyBorder="1" applyAlignment="1" applyProtection="0">
      <alignment horizontal="center" vertical="center" wrapText="1"/>
    </xf>
    <xf numFmtId="1" fontId="14" fillId="7" borderId="9" applyNumberFormat="1" applyFont="1" applyFill="1" applyBorder="1" applyAlignment="1" applyProtection="0">
      <alignment horizontal="center"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5e88b1"/>
      <rgbColor rgb="ffeef3f4"/>
      <rgbColor rgb="ff0000ff"/>
      <rgbColor rgb="ffffffff"/>
      <rgbColor rgb="ffaaaaaa"/>
      <rgbColor rgb="ff1f4e78"/>
      <rgbColor rgb="ff833c00"/>
      <rgbColor rgb="fffff2cc"/>
      <rgbColor rgb="ffbfbfbf"/>
      <rgbColor rgb="ffddebf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heetMetadata" Target="metadata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9" Type="http://schemas.openxmlformats.org/officeDocument/2006/relationships/worksheet" Target="worksheets/sheet5.xml"/><Relationship Id="rId10" Type="http://schemas.openxmlformats.org/officeDocument/2006/relationships/worksheet" Target="worksheets/sheet6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workbookViewId="0" showGridLines="0" defaultGridColor="1"/>
  </sheetViews>
  <sheetFormatPr defaultColWidth="10" defaultRowHeight="13" customHeight="1" outlineLevelRow="0" outlineLevelCol="0"/>
  <cols>
    <col min="1" max="1" width="2" customWidth="1"/>
    <col min="2" max="4" width="30.5547" customWidth="1"/>
  </cols>
  <sheetData>
    <row r="3" ht="50" customHeight="1">
      <c r="B3" t="s" s="1">
        <v>0</v>
      </c>
      <c r="C3"/>
      <c r="D3"/>
    </row>
    <row r="7">
      <c r="B7" t="s" s="2">
        <v>1</v>
      </c>
      <c r="C7" t="s" s="2">
        <v>2</v>
      </c>
      <c r="D7" t="s" s="2">
        <v>3</v>
      </c>
    </row>
    <row r="9">
      <c r="B9" t="s" s="3">
        <v>4</v>
      </c>
      <c r="C9" s="3"/>
      <c r="D9" s="3"/>
    </row>
    <row r="10">
      <c r="B10" s="4"/>
      <c r="C10" t="s" s="4">
        <v>5</v>
      </c>
      <c r="D10" t="s" s="5">
        <v>4</v>
      </c>
    </row>
    <row r="11">
      <c r="B11" t="s" s="3">
        <v>26</v>
      </c>
      <c r="C11" s="3"/>
      <c r="D11" s="3"/>
    </row>
    <row r="12">
      <c r="B12" s="4"/>
      <c r="C12" t="s" s="4">
        <v>5</v>
      </c>
      <c r="D12" t="s" s="5">
        <v>26</v>
      </c>
    </row>
    <row r="13">
      <c r="B13" t="s" s="3">
        <v>33</v>
      </c>
      <c r="C13" s="3"/>
      <c r="D13" s="3"/>
    </row>
    <row r="14">
      <c r="B14" s="4"/>
      <c r="C14" t="s" s="4">
        <v>5</v>
      </c>
      <c r="D14" t="s" s="5">
        <v>33</v>
      </c>
    </row>
    <row r="15">
      <c r="B15" t="s" s="3">
        <v>46</v>
      </c>
      <c r="C15" s="3"/>
      <c r="D15" s="3"/>
    </row>
    <row r="16">
      <c r="B16" s="4"/>
      <c r="C16" t="s" s="4">
        <v>5</v>
      </c>
      <c r="D16" t="s" s="5">
        <v>46</v>
      </c>
    </row>
    <row r="17">
      <c r="B17" t="s" s="3">
        <v>79</v>
      </c>
      <c r="C17" s="3"/>
      <c r="D17" s="3"/>
    </row>
    <row r="18">
      <c r="B18" s="4"/>
      <c r="C18" t="s" s="4">
        <v>5</v>
      </c>
      <c r="D18" t="s" s="5">
        <v>79</v>
      </c>
    </row>
  </sheetData>
  <mergeCells count="1">
    <mergeCell ref="B3:D3"/>
  </mergeCells>
  <hyperlinks>
    <hyperlink ref="D10" location="'1_WENN'!R1C1" tooltip="" display="1_WENN"/>
    <hyperlink ref="D12" location="'2_Verschachtelte_WENN'!R1C1" tooltip="" display="2_Verschachtelte_WENN"/>
    <hyperlink ref="D14" location="'3_WENNS'!R1C1" tooltip="" display="3_WENNS"/>
    <hyperlink ref="D16" location="'4_UND_ODER_NICHT'!R1C1" tooltip="" display="4_UND_ODER_NICHT"/>
    <hyperlink ref="D18" location="'5_WENNFEHLER_WENNNV'!R1C1" tooltip="" display="5_WENNFEHLER_WENNNV"/>
  </hyperlinks>
</worksheet>
</file>

<file path=xl/worksheets/sheet2.xml><?xml version="1.0" encoding="utf-8"?>
<worksheet xmlns:r="http://schemas.openxmlformats.org/officeDocument/2006/relationships" xmlns="http://schemas.openxmlformats.org/spreadsheetml/2006/main">
  <dimension ref="A1:G18"/>
  <sheetViews>
    <sheetView workbookViewId="0" showGridLines="0" defaultGridColor="1"/>
  </sheetViews>
  <sheetFormatPr defaultColWidth="8.66667" defaultRowHeight="15" customHeight="1" outlineLevelRow="0" outlineLevelCol="0"/>
  <cols>
    <col min="1" max="1" width="7.07031" style="6" customWidth="1"/>
    <col min="2" max="2" width="31.8359" style="6" customWidth="1"/>
    <col min="3" max="4" width="38.875" style="6" customWidth="1"/>
    <col min="5" max="5" width="31.0781" style="6" customWidth="1"/>
    <col min="6" max="7" width="15.3125" style="6" customWidth="1"/>
    <col min="8" max="16384" width="8.67188" style="6" customWidth="1"/>
  </cols>
  <sheetData>
    <row r="1" ht="25.5" customHeight="1">
      <c r="A1" s="7"/>
      <c r="B1" s="8"/>
      <c r="C1" s="8"/>
      <c r="D1" s="8"/>
      <c r="E1" s="9"/>
      <c r="F1" s="9"/>
      <c r="G1" s="10"/>
    </row>
    <row r="2" ht="36.6" customHeight="1">
      <c r="A2" s="11"/>
      <c r="B2" t="s" s="12">
        <v>6</v>
      </c>
      <c r="C2" s="13"/>
      <c r="D2" s="13"/>
      <c r="E2" s="14"/>
      <c r="F2" s="14"/>
      <c r="G2" s="15"/>
    </row>
    <row r="3" ht="63.4" customHeight="1">
      <c r="A3" s="11"/>
      <c r="B3" t="s" s="16">
        <v>7</v>
      </c>
      <c r="C3" s="17"/>
      <c r="D3" s="17"/>
      <c r="E3" s="14"/>
      <c r="F3" s="14"/>
      <c r="G3" s="15"/>
    </row>
    <row r="4" ht="25.5" customHeight="1">
      <c r="A4" s="11"/>
      <c r="B4" s="18"/>
      <c r="C4" s="18"/>
      <c r="D4" s="18"/>
      <c r="E4" s="14"/>
      <c r="F4" s="14"/>
      <c r="G4" s="15"/>
    </row>
    <row r="5" ht="56.35" customHeight="1">
      <c r="A5" s="19"/>
      <c r="B5" t="s" s="20">
        <v>8</v>
      </c>
      <c r="C5" t="s" s="20">
        <v>9</v>
      </c>
      <c r="D5" t="s" s="20">
        <v>10</v>
      </c>
      <c r="E5" s="21"/>
      <c r="F5" s="14"/>
      <c r="G5" s="15"/>
    </row>
    <row r="6" ht="25.9" customHeight="1">
      <c r="A6" s="19"/>
      <c r="B6" t="s" s="22">
        <v>11</v>
      </c>
      <c r="C6" s="23">
        <v>120</v>
      </c>
      <c r="D6" t="str" s="24" cm="1">
        <f t="array" ref="D6">IF(C6&gt;180,"SLA verletzt","SLA eingehalten")</f>
        <v>SLA eingehalten</v>
      </c>
      <c r="E6" s="21"/>
      <c r="F6" s="14"/>
      <c r="G6" s="15"/>
    </row>
    <row r="7" ht="25.9" customHeight="1">
      <c r="A7" s="19"/>
      <c r="B7" t="s" s="22">
        <v>13</v>
      </c>
      <c r="C7" s="23">
        <v>200</v>
      </c>
      <c r="D7" t="str" s="24" cm="1">
        <f t="array" ref="D7">IF(C7&gt;180,"SLA verletzt","SLA eingehalten")</f>
        <v>SLA verletzt</v>
      </c>
      <c r="E7" s="21"/>
      <c r="F7" s="14"/>
      <c r="G7" s="15"/>
    </row>
    <row r="8" ht="25.9" customHeight="1">
      <c r="A8" s="19"/>
      <c r="B8" t="s" s="22">
        <v>15</v>
      </c>
      <c r="C8" s="23">
        <v>75</v>
      </c>
      <c r="D8" t="str" s="24" cm="1">
        <f t="array" ref="D8">IF(C8&gt;180,"SLA verletzt","SLA eingehalten")</f>
        <v>SLA eingehalten</v>
      </c>
      <c r="E8" s="21"/>
      <c r="F8" s="14"/>
      <c r="G8" s="15"/>
    </row>
    <row r="9" ht="25.9" customHeight="1">
      <c r="A9" s="19"/>
      <c r="B9" t="s" s="22">
        <v>16</v>
      </c>
      <c r="C9" s="23">
        <v>310</v>
      </c>
      <c r="D9" t="str" s="24" cm="1">
        <f t="array" ref="D9">IF(C9&gt;180,"SLA verletzt","SLA eingehalten")</f>
        <v>SLA verletzt</v>
      </c>
      <c r="E9" s="21"/>
      <c r="F9" s="14"/>
      <c r="G9" s="15"/>
    </row>
    <row r="10" ht="25.9" customHeight="1">
      <c r="A10" s="19"/>
      <c r="B10" t="s" s="22">
        <v>17</v>
      </c>
      <c r="C10" s="23">
        <v>180</v>
      </c>
      <c r="D10" t="str" s="24" cm="1">
        <f t="array" ref="D10">IF(C10&gt;180,"SLA verletzt","SLA eingehalten")</f>
        <v>SLA eingehalten</v>
      </c>
      <c r="E10" s="21"/>
      <c r="F10" s="14"/>
      <c r="G10" s="15"/>
    </row>
    <row r="11" ht="25.9" customHeight="1">
      <c r="A11" s="19"/>
      <c r="B11" t="s" s="22">
        <v>18</v>
      </c>
      <c r="C11" s="23">
        <v>45</v>
      </c>
      <c r="D11" t="str" s="24" cm="1">
        <f t="array" ref="D11">IF(C11&gt;180,"SLA verletzt","SLA eingehalten")</f>
        <v>SLA eingehalten</v>
      </c>
      <c r="E11" s="21"/>
      <c r="F11" s="14"/>
      <c r="G11" s="15"/>
    </row>
    <row r="12" ht="25.9" customHeight="1">
      <c r="A12" s="19"/>
      <c r="B12" t="s" s="22">
        <v>19</v>
      </c>
      <c r="C12" s="23">
        <v>260</v>
      </c>
      <c r="D12" t="str" s="24" cm="1">
        <f t="array" ref="D12">IF(C12&gt;180,"SLA verletzt","SLA eingehalten")</f>
        <v>SLA verletzt</v>
      </c>
      <c r="E12" s="21"/>
      <c r="F12" s="14"/>
      <c r="G12" s="15"/>
    </row>
    <row r="13" ht="25.9" customHeight="1">
      <c r="A13" s="19"/>
      <c r="B13" t="s" s="22">
        <v>20</v>
      </c>
      <c r="C13" s="23">
        <v>90</v>
      </c>
      <c r="D13" t="str" s="24" cm="1">
        <f t="array" ref="D13">IF(C13&gt;180,"SLA verletzt","SLA eingehalten")</f>
        <v>SLA eingehalten</v>
      </c>
      <c r="E13" s="21"/>
      <c r="F13" s="14"/>
      <c r="G13" s="15"/>
    </row>
    <row r="14" ht="25.9" customHeight="1">
      <c r="A14" s="19"/>
      <c r="B14" t="s" s="22">
        <v>21</v>
      </c>
      <c r="C14" s="23">
        <v>400</v>
      </c>
      <c r="D14" t="str" s="24" cm="1">
        <f t="array" ref="D14">IF(C14&gt;180,"SLA verletzt","SLA eingehalten")</f>
        <v>SLA verletzt</v>
      </c>
      <c r="E14" s="21"/>
      <c r="F14" s="14"/>
      <c r="G14" s="15"/>
    </row>
    <row r="15" ht="25.9" customHeight="1">
      <c r="A15" s="19"/>
      <c r="B15" t="s" s="22">
        <v>22</v>
      </c>
      <c r="C15" s="23">
        <v>150</v>
      </c>
      <c r="D15" t="str" s="24" cm="1">
        <f t="array" ref="D15">IF(C15&gt;180,"SLA verletzt","SLA eingehalten")</f>
        <v>SLA eingehalten</v>
      </c>
      <c r="E15" s="21"/>
      <c r="F15" s="14"/>
      <c r="G15" s="15"/>
    </row>
    <row r="16" ht="25.9" customHeight="1">
      <c r="A16" s="19"/>
      <c r="B16" t="s" s="22">
        <v>23</v>
      </c>
      <c r="C16" s="23">
        <v>200</v>
      </c>
      <c r="D16" t="str" s="24" cm="1">
        <f t="array" ref="D16">IF(C16&gt;180,"SLA verletzt","SLA eingehalten")</f>
        <v>SLA verletzt</v>
      </c>
      <c r="E16" s="21"/>
      <c r="F16" s="14"/>
      <c r="G16" s="15"/>
    </row>
    <row r="17" ht="25.9" customHeight="1">
      <c r="A17" s="19"/>
      <c r="B17" t="s" s="22">
        <v>24</v>
      </c>
      <c r="C17" s="23">
        <v>240</v>
      </c>
      <c r="D17" t="str" s="24" cm="1">
        <f t="array" ref="D17">IF(C17&gt;180,"SLA verletzt","SLA eingehalten")</f>
        <v>SLA verletzt</v>
      </c>
      <c r="E17" s="21"/>
      <c r="F17" s="14"/>
      <c r="G17" s="15"/>
    </row>
    <row r="18" ht="25.9" customHeight="1">
      <c r="A18" s="25"/>
      <c r="B18" t="s" s="22">
        <v>25</v>
      </c>
      <c r="C18" s="23">
        <v>120</v>
      </c>
      <c r="D18" t="str" s="24" cm="1">
        <f t="array" ref="D18">IF(C18&gt;180,"SLA verletzt","SLA eingehalten")</f>
        <v>SLA eingehalten</v>
      </c>
      <c r="E18" s="26"/>
      <c r="F18" s="27"/>
      <c r="G18" s="28"/>
    </row>
  </sheetData>
  <mergeCells count="1">
    <mergeCell ref="B3:D3"/>
  </mergeCells>
  <pageMargins left="0.75" right="0.75" top="1" bottom="1" header="0.511811" footer="0.511811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:E15"/>
  <sheetViews>
    <sheetView workbookViewId="0" showGridLines="0" defaultGridColor="1"/>
  </sheetViews>
  <sheetFormatPr defaultColWidth="8.66667" defaultRowHeight="15" customHeight="1" outlineLevelRow="0" outlineLevelCol="0"/>
  <cols>
    <col min="1" max="1" width="9.47656" style="29" customWidth="1"/>
    <col min="2" max="2" width="42.5625" style="29" customWidth="1"/>
    <col min="3" max="3" width="52.0469" style="29" customWidth="1"/>
    <col min="4" max="4" width="42.5625" style="29" customWidth="1"/>
    <col min="5" max="5" width="20.5156" style="29" customWidth="1"/>
    <col min="6" max="16384" width="8.67188" style="29" customWidth="1"/>
  </cols>
  <sheetData>
    <row r="1" ht="27.8" customHeight="1">
      <c r="A1" s="30"/>
      <c r="B1" s="31"/>
      <c r="C1" s="31"/>
      <c r="D1" s="31"/>
      <c r="E1" s="10"/>
    </row>
    <row r="2" ht="39.9" customHeight="1">
      <c r="A2" s="32"/>
      <c r="B2" t="s" s="33">
        <v>27</v>
      </c>
      <c r="C2" s="34"/>
      <c r="D2" s="34"/>
      <c r="E2" s="15"/>
    </row>
    <row r="3" ht="69.2" customHeight="1">
      <c r="A3" s="32"/>
      <c r="B3" t="s" s="35">
        <v>28</v>
      </c>
      <c r="C3" s="17"/>
      <c r="D3" s="17"/>
      <c r="E3" s="15"/>
    </row>
    <row r="4" ht="27.8" customHeight="1">
      <c r="A4" s="32"/>
      <c r="B4" s="36"/>
      <c r="C4" s="36"/>
      <c r="D4" s="36"/>
      <c r="E4" s="15"/>
    </row>
    <row r="5" ht="61.5" customHeight="1">
      <c r="A5" s="37"/>
      <c r="B5" t="s" s="38">
        <v>8</v>
      </c>
      <c r="C5" t="s" s="38">
        <v>9</v>
      </c>
      <c r="D5" t="s" s="38">
        <v>29</v>
      </c>
      <c r="E5" s="39"/>
    </row>
    <row r="6" ht="28.25" customHeight="1">
      <c r="A6" s="37"/>
      <c r="B6" t="s" s="40">
        <v>11</v>
      </c>
      <c r="C6" s="41">
        <v>520</v>
      </c>
      <c r="D6" t="str" s="42" cm="1">
        <f t="array" ref="D6">IF(C6&gt;480,"Hoch",IF(C6&gt;240,"Mittel","Niedrig"))</f>
        <v>Hoch</v>
      </c>
      <c r="E6" s="39"/>
    </row>
    <row r="7" ht="28.25" customHeight="1">
      <c r="A7" s="37"/>
      <c r="B7" t="s" s="40">
        <v>13</v>
      </c>
      <c r="C7" s="41">
        <v>310</v>
      </c>
      <c r="D7" t="str" s="42" cm="1">
        <f t="array" ref="D7">IF(C7&gt;480,"Hoch",IF(C7&gt;240,"Mittel","Niedrig"))</f>
        <v>Mittel</v>
      </c>
      <c r="E7" s="39"/>
    </row>
    <row r="8" ht="28.25" customHeight="1">
      <c r="A8" s="37"/>
      <c r="B8" t="s" s="40">
        <v>15</v>
      </c>
      <c r="C8" s="41">
        <v>150</v>
      </c>
      <c r="D8" t="str" s="42" cm="1">
        <f t="array" ref="D8">IF(C8&gt;480,"Hoch",IF(C8&gt;240,"Mittel","Niedrig"))</f>
        <v>Niedrig</v>
      </c>
      <c r="E8" s="39"/>
    </row>
    <row r="9" ht="28.25" customHeight="1">
      <c r="A9" s="37"/>
      <c r="B9" t="s" s="40">
        <v>16</v>
      </c>
      <c r="C9" s="41">
        <v>610</v>
      </c>
      <c r="D9" t="str" s="42" cm="1">
        <f t="array" ref="D9">IF(C9&gt;480,"Hoch",IF(C9&gt;240,"Mittel","Niedrig"))</f>
        <v>Hoch</v>
      </c>
      <c r="E9" s="39"/>
    </row>
    <row r="10" ht="28.25" customHeight="1">
      <c r="A10" s="37"/>
      <c r="B10" t="s" s="40">
        <v>17</v>
      </c>
      <c r="C10" s="41">
        <v>90</v>
      </c>
      <c r="D10" t="str" s="42" cm="1">
        <f t="array" ref="D10">IF(C10&gt;480,"Hoch",IF(C10&gt;240,"Mittel","Niedrig"))</f>
        <v>Niedrig</v>
      </c>
      <c r="E10" s="39"/>
    </row>
    <row r="11" ht="28.25" customHeight="1">
      <c r="A11" s="37"/>
      <c r="B11" t="s" s="40">
        <v>18</v>
      </c>
      <c r="C11" s="41">
        <v>260</v>
      </c>
      <c r="D11" t="str" s="42" cm="1">
        <f t="array" ref="D11">IF(C11&gt;480,"Hoch",IF(C11&gt;240,"Mittel","Niedrig"))</f>
        <v>Mittel</v>
      </c>
      <c r="E11" s="39"/>
    </row>
    <row r="12" ht="28.25" customHeight="1">
      <c r="A12" s="37"/>
      <c r="B12" t="s" s="40">
        <v>19</v>
      </c>
      <c r="C12" s="41">
        <v>480</v>
      </c>
      <c r="D12" t="str" s="42" cm="1">
        <f t="array" ref="D12">IF(C12&gt;480,"Hoch",IF(C12&gt;240,"Mittel","Niedrig"))</f>
        <v>Mittel</v>
      </c>
      <c r="E12" s="39"/>
    </row>
    <row r="13" ht="28.25" customHeight="1">
      <c r="A13" s="37"/>
      <c r="B13" t="s" s="40">
        <v>20</v>
      </c>
      <c r="C13" s="41">
        <v>200</v>
      </c>
      <c r="D13" t="str" s="42" cm="1">
        <f t="array" ref="D13">IF(C13&gt;480,"Hoch",IF(C13&gt;240,"Mittel","Niedrig"))</f>
        <v>Niedrig</v>
      </c>
      <c r="E13" s="39"/>
    </row>
    <row r="14" ht="28.25" customHeight="1">
      <c r="A14" s="37"/>
      <c r="B14" t="s" s="40">
        <v>21</v>
      </c>
      <c r="C14" s="41">
        <v>75</v>
      </c>
      <c r="D14" t="str" s="42" cm="1">
        <f t="array" ref="D14">IF(C14&gt;480,"Hoch",IF(C14&gt;240,"Mittel","Niedrig"))</f>
        <v>Niedrig</v>
      </c>
      <c r="E14" s="39"/>
    </row>
    <row r="15" ht="28.25" customHeight="1">
      <c r="A15" s="43"/>
      <c r="B15" t="s" s="40">
        <v>22</v>
      </c>
      <c r="C15" s="41">
        <v>350</v>
      </c>
      <c r="D15" t="str" s="42" cm="1">
        <f t="array" ref="D15">IF(C15&gt;480,"Hoch",IF(C15&gt;240,"Mittel","Niedrig"))</f>
        <v>Mittel</v>
      </c>
      <c r="E15" s="44"/>
    </row>
  </sheetData>
  <mergeCells count="1">
    <mergeCell ref="B3:D3"/>
  </mergeCells>
  <pageMargins left="0.75" right="0.75" top="1" bottom="1" header="0.511811" footer="0.511811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dimension ref="A1:E15"/>
  <sheetViews>
    <sheetView workbookViewId="0" showGridLines="0" defaultGridColor="1"/>
  </sheetViews>
  <sheetFormatPr defaultColWidth="8.66667" defaultRowHeight="15" customHeight="1" outlineLevelRow="0" outlineLevelCol="0"/>
  <cols>
    <col min="1" max="1" width="8.90625" style="45" customWidth="1"/>
    <col min="2" max="2" width="40.0234" style="45" customWidth="1"/>
    <col min="3" max="3" width="48.9297" style="45" customWidth="1"/>
    <col min="4" max="4" width="40.0234" style="45" customWidth="1"/>
    <col min="5" max="5" width="19.2812" style="45" customWidth="1"/>
    <col min="6" max="16384" width="8.67188" style="45" customWidth="1"/>
  </cols>
  <sheetData>
    <row r="1" ht="30" customHeight="1">
      <c r="A1" s="46"/>
      <c r="B1" s="47"/>
      <c r="C1" s="47"/>
      <c r="D1" s="47"/>
      <c r="E1" s="48"/>
    </row>
    <row r="2" ht="43.05" customHeight="1">
      <c r="A2" s="49"/>
      <c r="B2" t="s" s="50">
        <v>34</v>
      </c>
      <c r="C2" s="51"/>
      <c r="D2" s="51"/>
      <c r="E2" s="52"/>
    </row>
    <row r="3" ht="74.65" customHeight="1">
      <c r="A3" s="49"/>
      <c r="B3" t="s" s="53">
        <v>35</v>
      </c>
      <c r="C3" s="17"/>
      <c r="D3" s="17"/>
      <c r="E3" s="52"/>
    </row>
    <row r="4" ht="30" customHeight="1">
      <c r="A4" s="49"/>
      <c r="B4" s="54"/>
      <c r="C4" s="54"/>
      <c r="D4" s="54"/>
      <c r="E4" s="52"/>
    </row>
    <row r="5" ht="66.35" customHeight="1">
      <c r="A5" s="55"/>
      <c r="B5" t="s" s="56">
        <v>8</v>
      </c>
      <c r="C5" t="s" s="56">
        <v>9</v>
      </c>
      <c r="D5" t="s" s="56">
        <v>29</v>
      </c>
      <c r="E5" s="57"/>
    </row>
    <row r="6" ht="30.5" customHeight="1">
      <c r="A6" s="55"/>
      <c r="B6" t="s" s="58">
        <v>36</v>
      </c>
      <c r="C6" s="59">
        <v>600</v>
      </c>
      <c r="D6" t="str" s="60" cm="1">
        <f t="array" ref="D6">_xlfn.IFS(C6&gt;480,"Hoch",C6&gt;240,"Mittel",TRUE,"Niedrig")</f>
        <v>Hoch</v>
      </c>
      <c r="E6" s="57"/>
    </row>
    <row r="7" ht="30.5" customHeight="1">
      <c r="A7" s="55"/>
      <c r="B7" t="s" s="58">
        <v>37</v>
      </c>
      <c r="C7" s="59">
        <v>150</v>
      </c>
      <c r="D7" t="str" s="60" cm="1">
        <f t="array" ref="D7">_xlfn.IFS(C7&gt;480,"Hoch",C7&gt;240,"Mittel",TRUE,"Niedrig")</f>
        <v>Niedrig</v>
      </c>
      <c r="E7" s="57"/>
    </row>
    <row r="8" ht="30.5" customHeight="1">
      <c r="A8" s="55"/>
      <c r="B8" t="s" s="58">
        <v>38</v>
      </c>
      <c r="C8" s="59">
        <v>330</v>
      </c>
      <c r="D8" t="str" s="60" cm="1">
        <f t="array" ref="D8">_xlfn.IFS(C8&gt;480,"Hoch",C8&gt;240,"Mittel",TRUE,"Niedrig")</f>
        <v>Mittel</v>
      </c>
      <c r="E8" s="57"/>
    </row>
    <row r="9" ht="30.5" customHeight="1">
      <c r="A9" s="55"/>
      <c r="B9" t="s" s="58">
        <v>39</v>
      </c>
      <c r="C9" s="59">
        <v>80</v>
      </c>
      <c r="D9" t="str" s="60" cm="1">
        <f t="array" ref="D9">_xlfn.IFS(C9&gt;480,"Hoch",C9&gt;240,"Mittel",TRUE,"Niedrig")</f>
        <v>Niedrig</v>
      </c>
      <c r="E9" s="57"/>
    </row>
    <row r="10" ht="30.5" customHeight="1">
      <c r="A10" s="55"/>
      <c r="B10" t="s" s="58">
        <v>40</v>
      </c>
      <c r="C10" s="59">
        <v>490</v>
      </c>
      <c r="D10" t="str" s="60" cm="1">
        <f t="array" ref="D10">_xlfn.IFS(C10&gt;480,"Hoch",C10&gt;240,"Mittel",TRUE,"Niedrig")</f>
        <v>Hoch</v>
      </c>
      <c r="E10" s="57"/>
    </row>
    <row r="11" ht="30.5" customHeight="1">
      <c r="A11" s="55"/>
      <c r="B11" t="s" s="58">
        <v>41</v>
      </c>
      <c r="C11" s="59">
        <v>250</v>
      </c>
      <c r="D11" t="str" s="60" cm="1">
        <f t="array" ref="D11">_xlfn.IFS(C11&gt;480,"Hoch",C11&gt;240,"Mittel",TRUE,"Niedrig")</f>
        <v>Mittel</v>
      </c>
      <c r="E11" s="57"/>
    </row>
    <row r="12" ht="30.5" customHeight="1">
      <c r="A12" s="55"/>
      <c r="B12" t="s" s="58">
        <v>42</v>
      </c>
      <c r="C12" s="59">
        <v>40</v>
      </c>
      <c r="D12" t="str" s="60" cm="1">
        <f t="array" ref="D12">_xlfn.IFS(C12&gt;480,"Hoch",C12&gt;240,"Mittel",TRUE,"Niedrig")</f>
        <v>Niedrig</v>
      </c>
      <c r="E12" s="57"/>
    </row>
    <row r="13" ht="30.5" customHeight="1">
      <c r="A13" s="55"/>
      <c r="B13" t="s" s="58">
        <v>43</v>
      </c>
      <c r="C13" s="59">
        <v>510</v>
      </c>
      <c r="D13" t="str" s="60" cm="1">
        <f t="array" ref="D13">_xlfn.IFS(C13&gt;480,"Hoch",C13&gt;240,"Mittel",TRUE,"Niedrig")</f>
        <v>Hoch</v>
      </c>
      <c r="E13" s="57"/>
    </row>
    <row r="14" ht="30.5" customHeight="1">
      <c r="A14" s="55"/>
      <c r="B14" t="s" s="58">
        <v>44</v>
      </c>
      <c r="C14" s="59">
        <v>300</v>
      </c>
      <c r="D14" t="str" s="60" cm="1">
        <f t="array" ref="D14">_xlfn.IFS(C14&gt;480,"Hoch",C14&gt;240,"Mittel",TRUE,"Niedrig")</f>
        <v>Mittel</v>
      </c>
      <c r="E14" s="57"/>
    </row>
    <row r="15" ht="30.5" customHeight="1">
      <c r="A15" s="61"/>
      <c r="B15" t="s" s="58">
        <v>45</v>
      </c>
      <c r="C15" s="59">
        <v>120</v>
      </c>
      <c r="D15" t="str" s="60" cm="1">
        <f t="array" ref="D15">_xlfn.IFS(C15&gt;480,"Hoch",C15&gt;240,"Mittel",TRUE,"Niedrig")</f>
        <v>Niedrig</v>
      </c>
      <c r="E15" s="62"/>
    </row>
  </sheetData>
  <mergeCells count="1">
    <mergeCell ref="B3:D3"/>
  </mergeCells>
  <pageMargins left="0.75" right="0.75" top="1" bottom="1" header="0.511811" footer="0.511811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.xml><?xml version="1.0" encoding="utf-8"?>
<worksheet xmlns:r="http://schemas.openxmlformats.org/officeDocument/2006/relationships" xmlns="http://schemas.openxmlformats.org/spreadsheetml/2006/main">
  <dimension ref="A1:I15"/>
  <sheetViews>
    <sheetView workbookViewId="0" showGridLines="0" defaultGridColor="1"/>
  </sheetViews>
  <sheetFormatPr defaultColWidth="8.66667" defaultRowHeight="15" customHeight="1" outlineLevelRow="0" outlineLevelCol="0"/>
  <cols>
    <col min="1" max="1" width="5.85938" style="63" customWidth="1"/>
    <col min="2" max="2" width="23.4297" style="63" customWidth="1"/>
    <col min="3" max="3" width="29.2969" style="63" customWidth="1"/>
    <col min="4" max="4" width="23.4297" style="63" customWidth="1"/>
    <col min="5" max="5" width="41" style="63" customWidth="1"/>
    <col min="6" max="7" width="23.4297" style="63" customWidth="1"/>
    <col min="8" max="9" width="26.3438" style="63" customWidth="1"/>
    <col min="10" max="16384" width="8.67188" style="63" customWidth="1"/>
  </cols>
  <sheetData>
    <row r="1" ht="28.6" customHeight="1">
      <c r="A1" s="64"/>
      <c r="B1" s="65"/>
      <c r="C1" s="65"/>
      <c r="D1" s="65"/>
      <c r="E1" s="65"/>
      <c r="F1" s="65"/>
      <c r="G1" s="65"/>
      <c r="H1" s="65"/>
      <c r="I1" s="66"/>
    </row>
    <row r="2" ht="41.05" customHeight="1">
      <c r="A2" s="67"/>
      <c r="B2" t="s" s="68">
        <v>47</v>
      </c>
      <c r="C2" s="69"/>
      <c r="D2" s="69"/>
      <c r="E2" s="69"/>
      <c r="F2" s="69"/>
      <c r="G2" s="69"/>
      <c r="H2" s="69"/>
      <c r="I2" s="70"/>
    </row>
    <row r="3" ht="71.15" customHeight="1">
      <c r="A3" s="67"/>
      <c r="B3" t="s" s="71">
        <v>48</v>
      </c>
      <c r="C3" s="17"/>
      <c r="D3" s="17"/>
      <c r="E3" s="17"/>
      <c r="F3" s="17"/>
      <c r="G3" s="17"/>
      <c r="H3" s="17"/>
      <c r="I3" s="72"/>
    </row>
    <row r="4" ht="28.6" customHeight="1">
      <c r="A4" s="67"/>
      <c r="B4" s="73"/>
      <c r="C4" s="73"/>
      <c r="D4" s="73"/>
      <c r="E4" s="73"/>
      <c r="F4" s="73"/>
      <c r="G4" s="73"/>
      <c r="H4" s="73"/>
      <c r="I4" s="74"/>
    </row>
    <row r="5" ht="71.15" customHeight="1">
      <c r="A5" s="75"/>
      <c r="B5" t="s" s="76">
        <v>8</v>
      </c>
      <c r="C5" t="s" s="76">
        <v>9</v>
      </c>
      <c r="D5" t="s" s="76">
        <v>49</v>
      </c>
      <c r="E5" t="s" s="76">
        <v>50</v>
      </c>
      <c r="F5" t="s" s="76">
        <v>51</v>
      </c>
      <c r="G5" t="s" s="76">
        <v>52</v>
      </c>
      <c r="H5" t="s" s="76">
        <v>53</v>
      </c>
      <c r="I5" s="77"/>
    </row>
    <row r="6" ht="29.05" customHeight="1">
      <c r="A6" s="75"/>
      <c r="B6" t="s" s="78">
        <v>54</v>
      </c>
      <c r="C6" s="79">
        <v>310</v>
      </c>
      <c r="D6" t="s" s="78">
        <v>55</v>
      </c>
      <c r="E6" t="s" s="80">
        <v>56</v>
      </c>
      <c r="F6" t="str" s="81" cm="1">
        <f t="array" ref="F6">IF(AND(C6&gt;240,D6="REKLAMATION"),"KRITISCH","NORMAL")</f>
        <v>KRITISCH</v>
      </c>
      <c r="G6" t="str" s="81" cm="1">
        <f t="array" ref="G6">IF(OR(D6="REKLAMATION",D6="ESKALATION"),"Sonderfall","Standardfall")</f>
        <v>Sonderfall</v>
      </c>
      <c r="H6" t="str" s="81" cm="1">
        <f t="array" ref="H6">IF(NOT(ISBLANK(E6)),"Erfasst","Fehlt")</f>
        <v>Erfasst</v>
      </c>
      <c r="I6" t="str" s="81" cm="1">
        <f t="array" ref="I6">IF(ISBLANK(E6),"Fehlt","Erfasst")</f>
        <v>Erfasst</v>
      </c>
    </row>
    <row r="7" ht="29.05" customHeight="1">
      <c r="A7" s="75"/>
      <c r="B7" t="s" s="78">
        <v>60</v>
      </c>
      <c r="C7" s="79">
        <v>150</v>
      </c>
      <c r="D7" t="s" s="78">
        <v>61</v>
      </c>
      <c r="E7" s="82"/>
      <c r="F7" t="str" s="81" cm="1">
        <f t="array" ref="F7">IF(AND(C7&gt;240,D7="REKLAMATION"),"KRITISCH","NORMAL")</f>
        <v>NORMAL</v>
      </c>
      <c r="G7" t="str" s="81" cm="1">
        <f t="array" ref="G7">IF(OR(D7="REKLAMATION",D7="ESKALATION"),"Sonderfall","Standardfall")</f>
        <v>Standardfall</v>
      </c>
      <c r="H7" t="str" s="81" cm="1">
        <f t="array" ref="H7">IF(NOT(ISBLANK(E7)),"Erfasst","Fehlt")</f>
        <v>Fehlt</v>
      </c>
      <c r="I7" t="str" s="81" cm="1">
        <f t="array" ref="I7">IF(ISBLANK(E7),"Fehlt","Erfasst")</f>
        <v>Fehlt</v>
      </c>
    </row>
    <row r="8" ht="29.05" customHeight="1">
      <c r="A8" s="75"/>
      <c r="B8" t="s" s="78">
        <v>65</v>
      </c>
      <c r="C8" s="79">
        <v>260</v>
      </c>
      <c r="D8" t="s" s="78">
        <v>66</v>
      </c>
      <c r="E8" t="s" s="80">
        <v>67</v>
      </c>
      <c r="F8" t="str" s="81" cm="1">
        <f t="array" ref="F8">IF(AND(C8&gt;240,D8="REKLAMATION"),"KRITISCH","NORMAL")</f>
        <v>NORMAL</v>
      </c>
      <c r="G8" t="str" s="81" cm="1">
        <f t="array" ref="G8">IF(OR(D8="REKLAMATION",D8="ESKALATION"),"Sonderfall","Standardfall")</f>
        <v>Sonderfall</v>
      </c>
      <c r="H8" t="str" s="81" cm="1">
        <f t="array" ref="H8">IF(NOT(ISBLANK(E8)),"Erfasst","Fehlt")</f>
        <v>Erfasst</v>
      </c>
      <c r="I8" t="str" s="81" cm="1">
        <f t="array" ref="I8">IF(ISBLANK(E8),"Fehlt","Erfasst")</f>
        <v>Erfasst</v>
      </c>
    </row>
    <row r="9" ht="29.05" customHeight="1">
      <c r="A9" s="75"/>
      <c r="B9" t="s" s="78">
        <v>68</v>
      </c>
      <c r="C9" s="79">
        <v>90</v>
      </c>
      <c r="D9" t="s" s="78">
        <v>61</v>
      </c>
      <c r="E9" s="82"/>
      <c r="F9" t="str" s="81" cm="1">
        <f t="array" ref="F9">IF(AND(C9&gt;240,D9="REKLAMATION"),"KRITISCH","NORMAL")</f>
        <v>NORMAL</v>
      </c>
      <c r="G9" t="str" s="81" cm="1">
        <f t="array" ref="G9">IF(OR(D9="REKLAMATION",D9="ESKALATION"),"Sonderfall","Standardfall")</f>
        <v>Standardfall</v>
      </c>
      <c r="H9" t="str" s="81" cm="1">
        <f t="array" ref="H9">IF(NOT(ISBLANK(E9)),"Erfasst","Fehlt")</f>
        <v>Fehlt</v>
      </c>
      <c r="I9" t="str" s="81" cm="1">
        <f t="array" ref="I9">IF(ISBLANK(E9),"Fehlt","Erfasst")</f>
        <v>Fehlt</v>
      </c>
    </row>
    <row r="10" ht="29.05" customHeight="1">
      <c r="A10" s="75"/>
      <c r="B10" t="s" s="78">
        <v>69</v>
      </c>
      <c r="C10" s="79">
        <v>400</v>
      </c>
      <c r="D10" t="s" s="78">
        <v>55</v>
      </c>
      <c r="E10" s="82"/>
      <c r="F10" t="str" s="81" cm="1">
        <f t="array" ref="F10">IF(AND(C10&gt;240,D10="REKLAMATION"),"KRITISCH","NORMAL")</f>
        <v>KRITISCH</v>
      </c>
      <c r="G10" t="str" s="81" cm="1">
        <f t="array" ref="G10">IF(OR(D10="REKLAMATION",D10="ESKALATION"),"Sonderfall","Standardfall")</f>
        <v>Sonderfall</v>
      </c>
      <c r="H10" t="str" s="81" cm="1">
        <f t="array" ref="H10">IF(NOT(ISBLANK(E10)),"Erfasst","Fehlt")</f>
        <v>Fehlt</v>
      </c>
      <c r="I10" t="str" s="81" cm="1">
        <f t="array" ref="I10">IF(ISBLANK(E10),"Fehlt","Erfasst")</f>
        <v>Fehlt</v>
      </c>
    </row>
    <row r="11" ht="29.05" customHeight="1">
      <c r="A11" s="75"/>
      <c r="B11" t="s" s="78">
        <v>70</v>
      </c>
      <c r="C11" s="79">
        <v>200</v>
      </c>
      <c r="D11" t="s" s="78">
        <v>71</v>
      </c>
      <c r="E11" t="s" s="80">
        <v>72</v>
      </c>
      <c r="F11" t="str" s="81" cm="1">
        <f t="array" ref="F11">IF(AND(C11&gt;240,D11="REKLAMATION"),"KRITISCH","NORMAL")</f>
        <v>NORMAL</v>
      </c>
      <c r="G11" t="str" s="81" cm="1">
        <f t="array" ref="G11">IF(OR(D11="REKLAMATION",D11="ESKALATION"),"Sonderfall","Standardfall")</f>
        <v>Standardfall</v>
      </c>
      <c r="H11" t="str" s="81" cm="1">
        <f t="array" ref="H11">IF(NOT(ISBLANK(E11)),"Erfasst","Fehlt")</f>
        <v>Erfasst</v>
      </c>
      <c r="I11" t="str" s="81" cm="1">
        <f t="array" ref="I11">IF(ISBLANK(E11),"Fehlt","Erfasst")</f>
        <v>Erfasst</v>
      </c>
    </row>
    <row r="12" ht="29.05" customHeight="1">
      <c r="A12" s="75"/>
      <c r="B12" t="s" s="78">
        <v>73</v>
      </c>
      <c r="C12" s="79">
        <v>330</v>
      </c>
      <c r="D12" t="s" s="78">
        <v>66</v>
      </c>
      <c r="E12" s="82"/>
      <c r="F12" t="str" s="81" cm="1">
        <f t="array" ref="F12">IF(AND(C12&gt;240,D12="REKLAMATION"),"KRITISCH","NORMAL")</f>
        <v>NORMAL</v>
      </c>
      <c r="G12" t="str" s="81" cm="1">
        <f t="array" ref="G12">IF(OR(D12="REKLAMATION",D12="ESKALATION"),"Sonderfall","Standardfall")</f>
        <v>Sonderfall</v>
      </c>
      <c r="H12" t="str" s="81" cm="1">
        <f t="array" ref="H12">IF(NOT(ISBLANK(E12)),"Erfasst","Fehlt")</f>
        <v>Fehlt</v>
      </c>
      <c r="I12" t="str" s="81" cm="1">
        <f t="array" ref="I12">IF(ISBLANK(E12),"Fehlt","Erfasst")</f>
        <v>Fehlt</v>
      </c>
    </row>
    <row r="13" ht="29.05" customHeight="1">
      <c r="A13" s="75"/>
      <c r="B13" t="s" s="78">
        <v>74</v>
      </c>
      <c r="C13" s="79">
        <v>60</v>
      </c>
      <c r="D13" t="s" s="78">
        <v>61</v>
      </c>
      <c r="E13" t="s" s="80">
        <v>75</v>
      </c>
      <c r="F13" t="str" s="81" cm="1">
        <f t="array" ref="F13">IF(AND(C13&gt;240,D13="REKLAMATION"),"KRITISCH","NORMAL")</f>
        <v>NORMAL</v>
      </c>
      <c r="G13" t="str" s="81" cm="1">
        <f t="array" ref="G13">IF(OR(D13="REKLAMATION",D13="ESKALATION"),"Sonderfall","Standardfall")</f>
        <v>Standardfall</v>
      </c>
      <c r="H13" t="str" s="81" cm="1">
        <f t="array" ref="H13">IF(NOT(ISBLANK(E13)),"Erfasst","Fehlt")</f>
        <v>Erfasst</v>
      </c>
      <c r="I13" t="str" s="81" cm="1">
        <f t="array" ref="I13">IF(ISBLANK(E13),"Fehlt","Erfasst")</f>
        <v>Erfasst</v>
      </c>
    </row>
    <row r="14" ht="29.05" customHeight="1">
      <c r="A14" s="75"/>
      <c r="B14" t="s" s="78">
        <v>76</v>
      </c>
      <c r="C14" s="79">
        <v>280</v>
      </c>
      <c r="D14" t="s" s="78">
        <v>55</v>
      </c>
      <c r="E14" t="s" s="80">
        <v>77</v>
      </c>
      <c r="F14" t="str" s="81" cm="1">
        <f t="array" ref="F14">IF(AND(C14&gt;240,D14="REKLAMATION"),"KRITISCH","NORMAL")</f>
        <v>KRITISCH</v>
      </c>
      <c r="G14" t="str" s="81" cm="1">
        <f t="array" ref="G14">IF(OR(D14="REKLAMATION",D14="ESKALATION"),"Sonderfall","Standardfall")</f>
        <v>Sonderfall</v>
      </c>
      <c r="H14" t="str" s="81" cm="1">
        <f t="array" ref="H14">IF(NOT(ISBLANK(E14)),"Erfasst","Fehlt")</f>
        <v>Erfasst</v>
      </c>
      <c r="I14" t="str" s="81" cm="1">
        <f t="array" ref="I14">IF(ISBLANK(E14),"Fehlt","Erfasst")</f>
        <v>Erfasst</v>
      </c>
    </row>
    <row r="15" ht="29.05" customHeight="1">
      <c r="A15" s="83"/>
      <c r="B15" t="s" s="78">
        <v>78</v>
      </c>
      <c r="C15" s="79">
        <v>140</v>
      </c>
      <c r="D15" t="s" s="78">
        <v>71</v>
      </c>
      <c r="E15" s="82"/>
      <c r="F15" t="str" s="81" cm="1">
        <f t="array" ref="F15">IF(AND(C15&gt;240,D15="REKLAMATION"),"KRITISCH","NORMAL")</f>
        <v>NORMAL</v>
      </c>
      <c r="G15" t="str" s="81" cm="1">
        <f t="array" ref="G15">IF(OR(D15="REKLAMATION",D15="ESKALATION"),"Sonderfall","Standardfall")</f>
        <v>Standardfall</v>
      </c>
      <c r="H15" t="str" s="81" cm="1">
        <f t="array" ref="H15">IF(NOT(ISBLANK(E15)),"Erfasst","Fehlt")</f>
        <v>Fehlt</v>
      </c>
      <c r="I15" t="str" s="81" cm="1">
        <f t="array" ref="I15">IF(ISBLANK(E15),"Fehlt","Erfasst")</f>
        <v>Fehlt</v>
      </c>
    </row>
  </sheetData>
  <mergeCells count="1">
    <mergeCell ref="B3:H3"/>
  </mergeCells>
  <pageMargins left="0.75" right="0.75" top="1" bottom="1" header="0.511811" footer="0.511811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.xml><?xml version="1.0" encoding="utf-8"?>
<worksheet xmlns:r="http://schemas.openxmlformats.org/officeDocument/2006/relationships" xmlns="http://schemas.openxmlformats.org/spreadsheetml/2006/main">
  <dimension ref="A1:G29"/>
  <sheetViews>
    <sheetView workbookViewId="0" showGridLines="0" defaultGridColor="1"/>
  </sheetViews>
  <sheetFormatPr defaultColWidth="8.66667" defaultRowHeight="15.4" customHeight="1" outlineLevelRow="0" outlineLevelCol="0"/>
  <cols>
    <col min="1" max="1" width="4.86719" style="84" customWidth="1"/>
    <col min="2" max="2" width="21.875" style="84" customWidth="1"/>
    <col min="3" max="3" width="19.4531" style="84" customWidth="1"/>
    <col min="4" max="4" width="31.5859" style="84" customWidth="1"/>
    <col min="5" max="7" width="36.4609" style="84" customWidth="1"/>
    <col min="8" max="16384" width="8.67188" style="84" customWidth="1"/>
  </cols>
  <sheetData>
    <row r="1" ht="17.55" customHeight="1">
      <c r="A1" s="64"/>
      <c r="B1" s="65"/>
      <c r="C1" s="65"/>
      <c r="D1" s="65"/>
      <c r="E1" s="65"/>
      <c r="F1" s="65"/>
      <c r="G1" s="66"/>
    </row>
    <row r="2" ht="25.2" customHeight="1">
      <c r="A2" s="49"/>
      <c r="B2" t="s" s="50">
        <v>80</v>
      </c>
      <c r="C2" s="51"/>
      <c r="D2" s="51"/>
      <c r="E2" s="51"/>
      <c r="F2" s="51"/>
      <c r="G2" s="85"/>
    </row>
    <row r="3" ht="17.55" customHeight="1">
      <c r="A3" s="49"/>
      <c r="B3" s="51"/>
      <c r="C3" s="51"/>
      <c r="D3" s="51"/>
      <c r="E3" s="51"/>
      <c r="F3" s="51"/>
      <c r="G3" s="85"/>
    </row>
    <row r="4" ht="19.85" customHeight="1">
      <c r="A4" s="49"/>
      <c r="B4" t="s" s="86">
        <v>81</v>
      </c>
      <c r="C4" s="54"/>
      <c r="D4" s="51"/>
      <c r="E4" s="51"/>
      <c r="F4" s="51"/>
      <c r="G4" s="85"/>
    </row>
    <row r="5" ht="17.55" customHeight="1">
      <c r="A5" s="55"/>
      <c r="B5" t="s" s="56">
        <v>82</v>
      </c>
      <c r="C5" t="s" s="56">
        <v>83</v>
      </c>
      <c r="D5" s="87"/>
      <c r="E5" s="51"/>
      <c r="F5" s="51"/>
      <c r="G5" s="85"/>
    </row>
    <row r="6" ht="17.85" customHeight="1">
      <c r="A6" s="55"/>
      <c r="B6" t="s" s="58">
        <v>84</v>
      </c>
      <c r="C6" t="s" s="58">
        <v>85</v>
      </c>
      <c r="D6" s="87"/>
      <c r="E6" s="51"/>
      <c r="F6" s="51"/>
      <c r="G6" s="85"/>
    </row>
    <row r="7" ht="17.85" customHeight="1">
      <c r="A7" s="55"/>
      <c r="B7" t="s" s="58">
        <v>86</v>
      </c>
      <c r="C7" t="s" s="58">
        <v>87</v>
      </c>
      <c r="D7" s="87"/>
      <c r="E7" s="51"/>
      <c r="F7" s="51"/>
      <c r="G7" s="85"/>
    </row>
    <row r="8" ht="17.85" customHeight="1">
      <c r="A8" s="55"/>
      <c r="B8" t="s" s="58">
        <v>88</v>
      </c>
      <c r="C8" t="s" s="58">
        <v>89</v>
      </c>
      <c r="D8" s="87"/>
      <c r="E8" s="51"/>
      <c r="F8" s="51"/>
      <c r="G8" s="85"/>
    </row>
    <row r="9" ht="17.85" customHeight="1">
      <c r="A9" s="55"/>
      <c r="B9" t="s" s="58">
        <v>90</v>
      </c>
      <c r="C9" t="s" s="58">
        <v>91</v>
      </c>
      <c r="D9" s="87"/>
      <c r="E9" s="51"/>
      <c r="F9" s="51"/>
      <c r="G9" s="85"/>
    </row>
    <row r="10" ht="17.85" customHeight="1">
      <c r="A10" s="55"/>
      <c r="B10" t="s" s="58">
        <v>92</v>
      </c>
      <c r="C10" t="s" s="58">
        <v>93</v>
      </c>
      <c r="D10" s="87"/>
      <c r="E10" s="51"/>
      <c r="F10" s="51"/>
      <c r="G10" s="85"/>
    </row>
    <row r="11" ht="17.55" customHeight="1">
      <c r="A11" s="49"/>
      <c r="B11" s="88"/>
      <c r="C11" s="88"/>
      <c r="D11" s="51"/>
      <c r="E11" s="51"/>
      <c r="F11" s="51"/>
      <c r="G11" s="85"/>
    </row>
    <row r="12" ht="93.45" customHeight="1">
      <c r="A12" s="49"/>
      <c r="B12" t="s" s="53">
        <v>94</v>
      </c>
      <c r="C12" s="17"/>
      <c r="D12" s="17"/>
      <c r="E12" s="17"/>
      <c r="F12" s="89"/>
      <c r="G12" s="90"/>
    </row>
    <row r="13" ht="38.8" customHeight="1">
      <c r="A13" s="49"/>
      <c r="B13" t="s" s="91">
        <v>8</v>
      </c>
      <c r="C13" t="s" s="92">
        <v>82</v>
      </c>
      <c r="D13" t="s" s="92">
        <v>95</v>
      </c>
      <c r="E13" t="s" s="92">
        <v>96</v>
      </c>
      <c r="F13" t="s" s="92">
        <v>96</v>
      </c>
      <c r="G13" s="93"/>
    </row>
    <row r="14" ht="17.85" customHeight="1">
      <c r="A14" s="49"/>
      <c r="B14" t="s" s="94">
        <v>97</v>
      </c>
      <c r="C14" t="s" s="58">
        <v>86</v>
      </c>
      <c r="D14" t="str" s="60" cm="1">
        <f t="array" ref="D14">VLOOKUP(B14,B14:C20,2,FALSE)</f>
        <v>K002</v>
      </c>
      <c r="E14" t="str" s="60" cm="1">
        <f t="array" ref="E14">_xlfn.IFERROR(VLOOKUP(B14,$B$14:$C$24,2,FALSE),"Nicht gefunden")</f>
        <v>K002</v>
      </c>
      <c r="F14" t="str" s="60" cm="1">
        <f t="array" ref="F14">_xlfn.IFERROR(IF(VLOOKUP(B14,$B$14:$C$24,2,FALSE)=0,"Nicht gefunden",VLOOKUP(B14,$B$14:$C$24,2,FALSE)),"Nicht gefunden")</f>
        <v>K002</v>
      </c>
      <c r="G14" s="95"/>
    </row>
    <row r="15" ht="17.85" customHeight="1">
      <c r="A15" s="49"/>
      <c r="B15" t="s" s="94">
        <v>99</v>
      </c>
      <c r="C15" t="s" s="58">
        <v>92</v>
      </c>
      <c r="D15" t="str" s="60" cm="1">
        <f t="array" ref="D15">VLOOKUP(B15,B15:C21,2,FALSE)</f>
        <v>K005</v>
      </c>
      <c r="E15" t="str" s="60" cm="1">
        <f t="array" ref="E15">_xlfn.IFERROR(VLOOKUP(B15,$B$14:$C$24,2,FALSE),"Nicht gefunden")</f>
        <v>K005</v>
      </c>
      <c r="F15" t="str" s="60" cm="1">
        <f t="array" ref="F15">_xlfn.IFERROR(IF(VLOOKUP(B15,$B$14:$C$24,2,FALSE)=0,"Nicht gefunden",VLOOKUP(B15,$B$14:$C$24,2,FALSE)),"Nicht gefunden")</f>
        <v>K005</v>
      </c>
      <c r="G15" s="95"/>
    </row>
    <row r="16" ht="17.85" customHeight="1">
      <c r="A16" s="49"/>
      <c r="B16" t="s" s="94">
        <v>101</v>
      </c>
      <c r="C16" t="s" s="58">
        <v>102</v>
      </c>
      <c r="D16" t="str" s="60" cm="1">
        <f t="array" ref="D16">VLOOKUP(B16,B16:C22,2,FALSE)</f>
        <v>K099</v>
      </c>
      <c r="E16" t="str" s="60" cm="1">
        <f t="array" ref="E16">_xlfn.IFERROR(VLOOKUP(B16,$B$14:$C$24,2,FALSE),"Nicht gefunden")</f>
        <v>K099</v>
      </c>
      <c r="F16" t="str" s="60" cm="1">
        <f t="array" ref="F16">_xlfn.IFERROR(IF(VLOOKUP(B16,$B$14:$C$24,2,FALSE)=0,"Nicht gefunden",VLOOKUP(B16,$B$14:$C$24,2,FALSE)),"Nicht gefunden")</f>
        <v>K099</v>
      </c>
      <c r="G16" s="95"/>
    </row>
    <row r="17" ht="17.85" customHeight="1">
      <c r="A17" s="49"/>
      <c r="B17" t="s" s="94">
        <v>104</v>
      </c>
      <c r="C17" t="s" s="58">
        <v>84</v>
      </c>
      <c r="D17" t="str" s="60" cm="1">
        <f t="array" ref="D17">VLOOKUP(B17,B17:C23,2,FALSE)</f>
        <v>K001</v>
      </c>
      <c r="E17" t="str" s="60" cm="1">
        <f t="array" ref="E17">_xlfn.IFERROR(VLOOKUP(B17,$B$14:$C$24,2,FALSE),"Nicht gefunden")</f>
        <v>K001</v>
      </c>
      <c r="F17" t="str" s="60" cm="1">
        <f t="array" ref="F17">_xlfn.IFERROR(IF(VLOOKUP(B17,$B$14:$C$24,2,FALSE)=0,"Nicht gefunden",VLOOKUP(B17,$B$14:$C$24,2,FALSE)),"Nicht gefunden")</f>
        <v>K001</v>
      </c>
      <c r="G17" s="95"/>
    </row>
    <row r="18" ht="17.85" customHeight="1">
      <c r="A18" s="49"/>
      <c r="B18" t="s" s="94">
        <v>106</v>
      </c>
      <c r="C18" t="s" s="58">
        <v>107</v>
      </c>
      <c r="D18" t="str" s="60" cm="1">
        <f t="array" ref="D18">VLOOKUP(B18,B18:C24,2,FALSE)</f>
        <v>K100</v>
      </c>
      <c r="E18" t="str" s="60" cm="1">
        <f t="array" ref="E18">_xlfn.IFERROR(VLOOKUP(B18,$B$14:$C$24,2,FALSE),"Nicht gefunden")</f>
        <v>K100</v>
      </c>
      <c r="F18" t="str" s="60" cm="1">
        <f t="array" ref="F18">_xlfn.IFERROR(IF(VLOOKUP(B18,$B$14:$C$24,2,FALSE)=0,"Nicht gefunden",VLOOKUP(B18,$B$14:$C$24,2,FALSE)),"Nicht gefunden")</f>
        <v>K100</v>
      </c>
      <c r="G18" s="95"/>
    </row>
    <row r="19" ht="17.85" customHeight="1">
      <c r="A19" s="49"/>
      <c r="B19" t="s" s="94">
        <v>109</v>
      </c>
      <c r="C19" t="s" s="58">
        <v>88</v>
      </c>
      <c r="D19" t="str" s="60" cm="1">
        <f t="array" ref="D19">VLOOKUP(B19,B19:C24,2,FALSE)</f>
        <v>K003</v>
      </c>
      <c r="E19" t="str" s="60" cm="1">
        <f t="array" ref="E19">_xlfn.IFERROR(VLOOKUP(B19,$B$14:$C$24,2,FALSE),"Nicht gefunden")</f>
        <v>K003</v>
      </c>
      <c r="F19" t="str" s="60" cm="1">
        <f t="array" ref="F19">_xlfn.IFERROR(IF(VLOOKUP(B19,$B$14:$C$24,2,FALSE)=0,"Nicht gefunden",VLOOKUP(B19,$B$14:$C$24,2,FALSE)),"Nicht gefunden")</f>
        <v>K003</v>
      </c>
      <c r="G19" s="95"/>
    </row>
    <row r="20" ht="17.85" customHeight="1">
      <c r="A20" s="49"/>
      <c r="B20" t="s" s="94">
        <v>111</v>
      </c>
      <c r="C20" t="s" s="58">
        <v>90</v>
      </c>
      <c r="D20" t="str" s="60" cm="1">
        <f t="array" ref="D20">VLOOKUP(B20,B20:C24,2,FALSE)</f>
        <v>K004</v>
      </c>
      <c r="E20" t="str" s="60" cm="1">
        <f t="array" ref="E20">_xlfn.IFERROR(VLOOKUP(B20,$B$14:$C$24,2,FALSE),"Nicht gefunden")</f>
        <v>K004</v>
      </c>
      <c r="F20" t="str" s="60" cm="1">
        <f t="array" ref="F20">_xlfn.IFERROR(IF(VLOOKUP(B20,$B$14:$C$24,2,FALSE)=0,"Nicht gefunden",VLOOKUP(B20,$B$14:$C$24,2,FALSE)),"Nicht gefunden")</f>
        <v>K004</v>
      </c>
      <c r="G20" s="95"/>
    </row>
    <row r="21" ht="17.55" customHeight="1">
      <c r="A21" s="49"/>
      <c r="B21" t="s" s="94">
        <v>113</v>
      </c>
      <c r="C21" t="s" s="96">
        <v>114</v>
      </c>
      <c r="D21" t="str" s="97" cm="1">
        <f t="array" ref="D21">VLOOKUP(B21,B21:C24,2,FALSE)</f>
        <v>K200</v>
      </c>
      <c r="E21" t="str" s="97" cm="1">
        <f t="array" ref="E21">_xlfn.IFERROR(VLOOKUP(B21,$B$14:$C$24,2,FALSE),"Nicht gefunden")</f>
        <v>K200</v>
      </c>
      <c r="F21" t="str" s="97" cm="1">
        <f t="array" ref="F21">_xlfn.IFERROR(IF(VLOOKUP(B21,$B$14:$C$24,2,FALSE)=0,"Nicht gefunden",VLOOKUP(B21,$B$14:$C$24,2,FALSE)),"Nicht gefunden")</f>
        <v>K200</v>
      </c>
      <c r="G21" s="98"/>
    </row>
    <row r="22" ht="17.55" customHeight="1">
      <c r="A22" s="49"/>
      <c r="B22" t="s" s="94">
        <v>116</v>
      </c>
      <c r="C22" s="99"/>
      <c r="D22" s="100" cm="1">
        <f t="array" ref="D22">VLOOKUP(B22,B22:C24,2,FALSE)</f>
        <v>0</v>
      </c>
      <c r="E22" s="100" cm="1">
        <f t="array" ref="E22">_xlfn.IFERROR(VLOOKUP(B22,$B$14:$C$24,2,FALSE),"Nicht gefunden")</f>
        <v>0</v>
      </c>
      <c r="F22" t="str" s="101" cm="1">
        <f t="array" ref="F22">_xlfn.IFERROR(IF(VLOOKUP(B22,$B$14:$C$24,2,FALSE)=0,"Nicht gefunden",VLOOKUP(B22,$B$14:$C$24,2,FALSE)),"Nicht gefunden")</f>
        <v>Nicht gefunden</v>
      </c>
      <c r="G22" s="100"/>
    </row>
    <row r="23" ht="17.55" customHeight="1">
      <c r="A23" s="49"/>
      <c r="B23" t="s" s="102">
        <v>118</v>
      </c>
      <c r="C23" t="s" s="103">
        <v>119</v>
      </c>
      <c r="D23" t="str" s="101" cm="1">
        <f t="array" ref="D23">VLOOKUP(B23,B23:C24,2,FALSE)</f>
        <v>K125</v>
      </c>
      <c r="E23" t="str" s="101" cm="1">
        <f t="array" ref="E23">_xlfn.IFERROR(VLOOKUP(B23,$B$14:$C$24,2,FALSE),"Nicht gefunden")</f>
        <v>K125</v>
      </c>
      <c r="F23" t="str" s="101" cm="1">
        <f t="array" ref="F23">_xlfn.IFERROR(IF(VLOOKUP(B23,$B$14:$C$24,2,FALSE)=0,"Nicht gefunden",VLOOKUP(B23,$B$14:$C$24,2,FALSE)),"Nicht gefunden")</f>
        <v>K125</v>
      </c>
      <c r="G23" s="100"/>
    </row>
    <row r="24" ht="17.55" customHeight="1">
      <c r="A24" s="49"/>
      <c r="B24" s="51"/>
      <c r="C24" s="51"/>
      <c r="D24" s="51"/>
      <c r="E24" s="51"/>
      <c r="F24" s="51"/>
      <c r="G24" s="85"/>
    </row>
    <row r="25" ht="92.5" customHeight="1">
      <c r="A25" s="49"/>
      <c r="B25" t="s" s="104">
        <v>121</v>
      </c>
      <c r="C25" s="105"/>
      <c r="D25" s="105"/>
      <c r="E25" s="105"/>
      <c r="F25" s="106"/>
      <c r="G25" s="107"/>
    </row>
    <row r="26" ht="38.8" customHeight="1">
      <c r="A26" s="55"/>
      <c r="B26" t="s" s="56">
        <v>8</v>
      </c>
      <c r="C26" t="s" s="56">
        <v>122</v>
      </c>
      <c r="D26" t="s" s="56">
        <v>123</v>
      </c>
      <c r="E26" t="s" s="56">
        <v>124</v>
      </c>
      <c r="F26" s="108"/>
      <c r="G26" s="108"/>
    </row>
    <row r="27" ht="17.85" customHeight="1">
      <c r="A27" s="55"/>
      <c r="B27" t="s" s="58">
        <v>125</v>
      </c>
      <c r="C27" s="59">
        <v>4500</v>
      </c>
      <c r="D27" s="59">
        <v>9</v>
      </c>
      <c r="E27" s="109" cm="1">
        <f t="array" ref="E27">_xlfn.IFERROR(C27/D27,"Nicht berechenbar")</f>
        <v>500</v>
      </c>
      <c r="F27" s="109"/>
      <c r="G27" s="109"/>
    </row>
    <row r="28" ht="17.85" customHeight="1">
      <c r="A28" s="55"/>
      <c r="B28" t="s" s="58">
        <v>126</v>
      </c>
      <c r="C28" s="59">
        <v>1200</v>
      </c>
      <c r="D28" s="59">
        <v>0</v>
      </c>
      <c r="E28" t="str" s="60" cm="1">
        <f t="array" ref="E28">_xlfn.IFERROR(C28/D28,"Nicht berechenbar")</f>
        <v>Nicht berechenbar</v>
      </c>
      <c r="F28" s="109"/>
      <c r="G28" s="109"/>
    </row>
    <row r="29" ht="17.85" customHeight="1">
      <c r="A29" s="61"/>
      <c r="B29" t="s" s="58">
        <v>128</v>
      </c>
      <c r="C29" s="59">
        <v>8000</v>
      </c>
      <c r="D29" s="59">
        <v>16</v>
      </c>
      <c r="E29" s="109" cm="1">
        <f t="array" ref="E29">_xlfn.IFERROR(C29/D29,"Nicht berechenbar")</f>
        <v>500</v>
      </c>
      <c r="F29" s="109"/>
      <c r="G29" s="109"/>
    </row>
  </sheetData>
  <mergeCells count="2">
    <mergeCell ref="B12:F12"/>
    <mergeCell ref="B25:F25"/>
  </mergeCells>
  <pageMargins left="0.75" right="0.75" top="1" bottom="1" header="0.511811" footer="0.511811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